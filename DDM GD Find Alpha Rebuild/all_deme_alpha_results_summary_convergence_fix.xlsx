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49926716-DE25-4D19-84C9-446F0DE71A6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8" i="1" l="1"/>
  <c r="E42" i="1"/>
  <c r="E41" i="1"/>
  <c r="E29" i="1"/>
  <c r="E27" i="1"/>
  <c r="N25" i="1"/>
  <c r="S25" i="1" s="1"/>
  <c r="S9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S102" i="1"/>
  <c r="S101" i="1"/>
  <c r="S93" i="1"/>
  <c r="S94" i="1"/>
  <c r="S95" i="1"/>
  <c r="S96" i="1"/>
  <c r="S97" i="1"/>
  <c r="S98" i="1"/>
  <c r="S99" i="1"/>
  <c r="S100" i="1"/>
  <c r="S92" i="1"/>
  <c r="S91" i="1"/>
  <c r="S89" i="1"/>
  <c r="S90" i="1"/>
  <c r="S87" i="1"/>
  <c r="S84" i="1"/>
  <c r="S88" i="1"/>
  <c r="S86" i="1"/>
  <c r="S85" i="1"/>
  <c r="S82" i="1"/>
  <c r="S83" i="1"/>
  <c r="S80" i="1"/>
  <c r="S81" i="1"/>
  <c r="S78" i="1"/>
  <c r="S79" i="1"/>
  <c r="S77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62" i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S103" i="1" l="1"/>
</calcChain>
</file>

<file path=xl/sharedStrings.xml><?xml version="1.0" encoding="utf-8"?>
<sst xmlns="http://schemas.openxmlformats.org/spreadsheetml/2006/main" count="19" uniqueCount="19">
  <si>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</si>
  <si>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</si>
  <si>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</si>
  <si>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</si>
  <si>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</si>
  <si>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</si>
  <si>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</si>
  <si>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</si>
  <si>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</si>
  <si>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</si>
  <si>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</si>
  <si>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</si>
  <si>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</si>
  <si>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</si>
  <si>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</si>
  <si>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</si>
  <si>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linear_filter_region</t>
  </si>
  <si>
    <t>Error: (mu - vd)/vd * 100%</t>
  </si>
  <si>
    <t>max_n_samples_final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</si>
</sst>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2" borderId="0" xfId="1"/>
    <xf numFmtId="0" fontId="2" fillId="2" borderId="3" xfId="1" applyBorder="1"/>
    <xf numFmtId="0" fontId="2" fillId="2" borderId="4" xfId="1" applyBorder="1"/>
    <xf numFmtId="0" fontId="2" fillId="2" borderId="5" xfId="1" applyBorder="1"/>
    <xf numFmtId="0" fontId="2" fillId="2" borderId="6" xfId="1" applyBorder="1"/>
    <xf numFmtId="0" fontId="2" fillId="2" borderId="7" xfId="1" applyBorder="1"/>
    <xf numFmtId="0" fontId="2" fillId="2" borderId="8" xfId="1" applyBorder="1"/>
    <xf numFmtId="2" fontId="1" fillId="0" borderId="1" xfId="0" applyNumberFormat="1" applyFont="1" applyBorder="1" applyAlignment="1">
      <alignment horizontal="center" vertical="top"/>
    </xf>
    <xf numFmtId="2" fontId="2" fillId="2" borderId="0" xfId="1" applyNumberFormat="1"/>
    <xf numFmtId="2" fontId="2" fillId="2" borderId="4" xfId="1" applyNumberFormat="1" applyBorder="1"/>
    <xf numFmtId="2" fontId="2" fillId="2" borderId="7" xfId="1" applyNumberFormat="1" applyBorder="1"/>
    <xf numFmtId="2" fontId="0" fillId="0" borderId="0" xfId="0" applyNumberFormat="1"/>
  </cellXfs>
  <cellStyles count="2"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3"/>
  <sheetViews>
    <sheetView tabSelected="1" workbookViewId="0">
      <pane ySplit="1" topLeftCell="A68" activePane="bottomLeft" state="frozen"/>
      <selection pane="bottomLeft" activeCell="A70" sqref="A70:Q70"/>
    </sheetView>
  </sheetViews>
  <sheetFormatPr defaultRowHeight="15" x14ac:dyDescent="0.25"/>
  <cols>
    <col min="1" max="1" width="12.140625" bestFit="1" customWidth="1"/>
    <col min="2" max="2" width="11" bestFit="1" customWidth="1"/>
    <col min="3" max="3" width="12" style="14" bestFit="1" customWidth="1"/>
    <col min="4" max="5" width="12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8.7109375" customWidth="1"/>
    <col min="18" max="18" width="18.5703125" bestFit="1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0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18</v>
      </c>
      <c r="R1" s="2" t="s">
        <v>16</v>
      </c>
      <c r="S1" s="2" t="s">
        <v>17</v>
      </c>
    </row>
    <row r="2" spans="1:19" x14ac:dyDescent="0.25">
      <c r="A2" s="3">
        <v>1</v>
      </c>
      <c r="B2" s="3">
        <v>6.8255138645384933E-2</v>
      </c>
      <c r="C2" s="11">
        <v>19798</v>
      </c>
      <c r="D2" s="3">
        <v>6.791369616985321E-2</v>
      </c>
      <c r="E2" s="3">
        <v>1.4864804143144279E-6</v>
      </c>
      <c r="F2" s="3">
        <v>5.3555359045276418E-6</v>
      </c>
      <c r="G2" s="3" t="b">
        <v>1</v>
      </c>
      <c r="H2" s="3">
        <v>18750</v>
      </c>
      <c r="I2" s="3">
        <v>20000</v>
      </c>
      <c r="J2" s="3">
        <v>0.54794478416442871</v>
      </c>
      <c r="K2" s="3">
        <v>0.30024346709251398</v>
      </c>
      <c r="L2" s="3">
        <v>1.464444035152205E-3</v>
      </c>
      <c r="M2" s="3">
        <v>2.928887959569693E-3</v>
      </c>
      <c r="N2" s="3">
        <v>3.4144247553172252E-4</v>
      </c>
      <c r="O2" s="3">
        <v>4358169755.7334356</v>
      </c>
      <c r="P2" s="3">
        <v>100</v>
      </c>
      <c r="Q2" s="3">
        <v>140000</v>
      </c>
      <c r="R2" t="b">
        <v>1</v>
      </c>
      <c r="S2">
        <f>(N2/B2)*100</f>
        <v>0.50024435127978328</v>
      </c>
    </row>
    <row r="3" spans="1:19" x14ac:dyDescent="0.25">
      <c r="A3" s="4">
        <v>2</v>
      </c>
      <c r="B3" s="5">
        <v>7.7261312811500088E-2</v>
      </c>
      <c r="C3" s="12">
        <v>16863</v>
      </c>
      <c r="D3" s="5">
        <v>7.7584207057952881E-2</v>
      </c>
      <c r="E3" s="5">
        <v>8.8020700786728412E-5</v>
      </c>
      <c r="F3" s="5">
        <v>8.5422470874618739E-6</v>
      </c>
      <c r="G3" s="5" t="b">
        <v>0</v>
      </c>
      <c r="H3" s="5">
        <v>15500</v>
      </c>
      <c r="I3" s="5">
        <v>17500</v>
      </c>
      <c r="J3" s="5">
        <v>0.54857140779495239</v>
      </c>
      <c r="K3" s="5">
        <v>0.30093061923980707</v>
      </c>
      <c r="L3" s="5">
        <v>1.734735107877096E-3</v>
      </c>
      <c r="M3" s="5">
        <v>3.4694704227149491E-3</v>
      </c>
      <c r="N3" s="5">
        <v>3.2289424645279291E-4</v>
      </c>
      <c r="O3" s="5">
        <v>10000000</v>
      </c>
      <c r="P3" s="5">
        <v>100</v>
      </c>
      <c r="Q3" s="6">
        <v>100000</v>
      </c>
      <c r="R3" t="b">
        <v>1</v>
      </c>
      <c r="S3">
        <f t="shared" ref="S3:S66" si="0">(N3/B3)*100</f>
        <v>0.4179248768922435</v>
      </c>
    </row>
    <row r="4" spans="1:19" x14ac:dyDescent="0.25">
      <c r="A4" s="4">
        <v>3</v>
      </c>
      <c r="B4" s="5">
        <v>8.7437268462869769E-2</v>
      </c>
      <c r="C4" s="12">
        <v>14373</v>
      </c>
      <c r="D4" s="5">
        <v>8.690556138753891E-2</v>
      </c>
      <c r="E4" s="5">
        <v>1.038558093569009E-5</v>
      </c>
      <c r="F4" s="5">
        <v>9.2652926468872465E-6</v>
      </c>
      <c r="G4" s="5" t="b">
        <v>1</v>
      </c>
      <c r="H4" s="5">
        <v>13500</v>
      </c>
      <c r="I4" s="5">
        <v>15500</v>
      </c>
      <c r="J4" s="5">
        <v>0.55228227376937866</v>
      </c>
      <c r="K4" s="5">
        <v>0.3050156831741333</v>
      </c>
      <c r="L4" s="5">
        <v>2.25468294119844E-3</v>
      </c>
      <c r="M4" s="5">
        <v>4.509365651756525E-3</v>
      </c>
      <c r="N4" s="5">
        <v>5.3170707533085892E-4</v>
      </c>
      <c r="O4" s="5">
        <v>182012721.6058045</v>
      </c>
      <c r="P4" s="5">
        <v>100</v>
      </c>
      <c r="Q4" s="6">
        <v>60000</v>
      </c>
      <c r="R4" t="b">
        <v>1</v>
      </c>
      <c r="S4">
        <f t="shared" si="0"/>
        <v>0.60810119606681023</v>
      </c>
    </row>
    <row r="5" spans="1:19" x14ac:dyDescent="0.25">
      <c r="A5" s="7">
        <v>4</v>
      </c>
      <c r="B5" s="8">
        <v>9.8929739735079153E-2</v>
      </c>
      <c r="C5" s="13">
        <v>12427</v>
      </c>
      <c r="D5" s="8">
        <v>9.884999692440033E-2</v>
      </c>
      <c r="E5" s="8">
        <v>8.857553439156618E-6</v>
      </c>
      <c r="F5" s="8">
        <v>1.2053801583533639E-5</v>
      </c>
      <c r="G5" s="8" t="b">
        <v>1</v>
      </c>
      <c r="H5" s="8">
        <v>11500</v>
      </c>
      <c r="I5" s="8">
        <v>13500</v>
      </c>
      <c r="J5" s="8">
        <v>0.54910850524902344</v>
      </c>
      <c r="K5" s="8">
        <v>0.30152013897895807</v>
      </c>
      <c r="L5" s="8">
        <v>1.7364335591574379E-3</v>
      </c>
      <c r="M5" s="8">
        <v>3.472867188975215E-3</v>
      </c>
      <c r="N5" s="8">
        <v>7.9742810678823384E-5</v>
      </c>
      <c r="O5" s="8">
        <v>53770237.375592373</v>
      </c>
      <c r="P5" s="8">
        <v>100</v>
      </c>
      <c r="Q5" s="9">
        <v>100000</v>
      </c>
      <c r="R5" t="b">
        <v>1</v>
      </c>
      <c r="S5">
        <f t="shared" si="0"/>
        <v>8.0605499309271564E-2</v>
      </c>
    </row>
    <row r="6" spans="1:19" x14ac:dyDescent="0.25">
      <c r="A6" s="7">
        <v>5</v>
      </c>
      <c r="B6" s="8">
        <v>0.1119024130228327</v>
      </c>
      <c r="C6" s="13">
        <v>10704</v>
      </c>
      <c r="D6" s="8">
        <v>0.1120605692267418</v>
      </c>
      <c r="E6" s="8">
        <v>3.2323625873686979E-6</v>
      </c>
      <c r="F6" s="8">
        <v>1.4981729691498909E-5</v>
      </c>
      <c r="G6" s="8" t="b">
        <v>1</v>
      </c>
      <c r="H6" s="8">
        <v>9500</v>
      </c>
      <c r="I6" s="8">
        <v>11500</v>
      </c>
      <c r="J6" s="8">
        <v>0.54890286922454834</v>
      </c>
      <c r="K6" s="8">
        <v>0.30129438638687128</v>
      </c>
      <c r="L6" s="8">
        <v>1.735783280951114E-3</v>
      </c>
      <c r="M6" s="8">
        <v>3.471566596999764E-3</v>
      </c>
      <c r="N6" s="8">
        <v>1.5815620390913221E-4</v>
      </c>
      <c r="O6" s="8">
        <v>835367082.5790813</v>
      </c>
      <c r="P6" s="8">
        <v>100</v>
      </c>
      <c r="Q6" s="9">
        <v>100000</v>
      </c>
      <c r="R6" t="b">
        <v>1</v>
      </c>
      <c r="S6">
        <f t="shared" si="0"/>
        <v>0.14133404243647707</v>
      </c>
    </row>
    <row r="7" spans="1:19" x14ac:dyDescent="0.25">
      <c r="A7" s="4">
        <v>6</v>
      </c>
      <c r="B7" s="5">
        <v>0.12653747766179149</v>
      </c>
      <c r="C7" s="12">
        <v>9137</v>
      </c>
      <c r="D7" s="5">
        <v>0.1270018815994263</v>
      </c>
      <c r="E7" s="5">
        <v>1.2833184882765639E-5</v>
      </c>
      <c r="F7" s="5">
        <v>2.491233135515358E-5</v>
      </c>
      <c r="G7" s="5" t="b">
        <v>1</v>
      </c>
      <c r="H7" s="5">
        <v>8750</v>
      </c>
      <c r="I7" s="5">
        <v>9500</v>
      </c>
      <c r="J7" s="5">
        <v>0.54802572727203369</v>
      </c>
      <c r="K7" s="5">
        <v>0.30033221840858459</v>
      </c>
      <c r="L7" s="5">
        <v>1.225422779599028E-3</v>
      </c>
      <c r="M7" s="5">
        <v>2.4508456699550152E-3</v>
      </c>
      <c r="N7" s="5">
        <v>4.6440393763474969E-4</v>
      </c>
      <c r="O7" s="5">
        <v>2517626.3915968859</v>
      </c>
      <c r="P7" s="5">
        <v>100</v>
      </c>
      <c r="Q7" s="6">
        <v>200000</v>
      </c>
      <c r="R7" t="b">
        <v>1</v>
      </c>
      <c r="S7">
        <f t="shared" si="0"/>
        <v>0.36700900493370464</v>
      </c>
    </row>
    <row r="8" spans="1:19" x14ac:dyDescent="0.25">
      <c r="A8" s="7">
        <v>7</v>
      </c>
      <c r="B8" s="8">
        <v>0.14303719980762769</v>
      </c>
      <c r="C8" s="13">
        <v>8009</v>
      </c>
      <c r="D8" s="8">
        <v>0.1426205039024353</v>
      </c>
      <c r="E8" s="8">
        <v>7.3540354605938774E-6</v>
      </c>
      <c r="F8" s="8">
        <v>2.0959972971468229E-5</v>
      </c>
      <c r="G8" s="8" t="b">
        <v>1</v>
      </c>
      <c r="H8" s="8">
        <v>7250</v>
      </c>
      <c r="I8" s="8">
        <v>8250</v>
      </c>
      <c r="J8" s="8">
        <v>0.54907357692718506</v>
      </c>
      <c r="K8" s="8">
        <v>0.30148178339004522</v>
      </c>
      <c r="L8" s="8">
        <v>1.227765842658146E-3</v>
      </c>
      <c r="M8" s="8">
        <v>2.455531619489193E-3</v>
      </c>
      <c r="N8" s="8">
        <v>4.1669590519238803E-4</v>
      </c>
      <c r="O8" s="8">
        <v>2222893.248628262</v>
      </c>
      <c r="P8" s="8">
        <v>100</v>
      </c>
      <c r="Q8" s="9">
        <v>200000</v>
      </c>
      <c r="R8" t="b">
        <v>1</v>
      </c>
      <c r="S8">
        <f t="shared" si="0"/>
        <v>0.29131995435649394</v>
      </c>
    </row>
    <row r="9" spans="1:19" x14ac:dyDescent="0.25">
      <c r="A9" s="7">
        <v>8</v>
      </c>
      <c r="B9" s="8">
        <v>0.1616254787212342</v>
      </c>
      <c r="C9" s="13">
        <v>6909</v>
      </c>
      <c r="D9" s="8">
        <v>0.1617928892374039</v>
      </c>
      <c r="E9" s="8">
        <v>2.2656438147805599E-7</v>
      </c>
      <c r="F9" s="8">
        <v>3.1375173421110958E-5</v>
      </c>
      <c r="G9" s="8" t="b">
        <v>1</v>
      </c>
      <c r="H9" s="8">
        <v>6250</v>
      </c>
      <c r="I9" s="8">
        <v>7250</v>
      </c>
      <c r="J9" s="8">
        <v>0.55034726858139038</v>
      </c>
      <c r="K9" s="8">
        <v>0.30288213491439819</v>
      </c>
      <c r="L9" s="8">
        <v>1.1233916577990449E-3</v>
      </c>
      <c r="M9" s="8">
        <v>2.246783347800374E-3</v>
      </c>
      <c r="N9" s="8">
        <v>1.6741051616966929E-4</v>
      </c>
      <c r="O9" s="8">
        <v>126980707.6534635</v>
      </c>
      <c r="P9" s="8">
        <v>100</v>
      </c>
      <c r="Q9" s="9">
        <v>240000</v>
      </c>
      <c r="R9" t="b">
        <v>1</v>
      </c>
      <c r="S9">
        <f t="shared" si="0"/>
        <v>0.10357928557688167</v>
      </c>
    </row>
    <row r="10" spans="1:19" x14ac:dyDescent="0.25">
      <c r="A10" s="7">
        <v>9</v>
      </c>
      <c r="B10" s="8">
        <v>0.1825493302612313</v>
      </c>
      <c r="C10" s="13">
        <v>5977</v>
      </c>
      <c r="D10" s="8">
        <v>0.18354858458042139</v>
      </c>
      <c r="E10" s="8">
        <v>3.2813471761983243E-7</v>
      </c>
      <c r="F10" s="8">
        <v>3.5167820897186168E-5</v>
      </c>
      <c r="G10" s="8" t="b">
        <v>1</v>
      </c>
      <c r="H10" s="8">
        <v>5250</v>
      </c>
      <c r="I10" s="8">
        <v>6250</v>
      </c>
      <c r="J10" s="8">
        <v>0.54833275079727173</v>
      </c>
      <c r="K10" s="8">
        <v>0.30066877603530878</v>
      </c>
      <c r="L10" s="8">
        <v>7.6040071115991573E-4</v>
      </c>
      <c r="M10" s="8">
        <v>1.520801451988518E-3</v>
      </c>
      <c r="N10" s="3">
        <v>7.2856512355887193E-4</v>
      </c>
      <c r="O10" s="8">
        <v>5053463.1062353067</v>
      </c>
      <c r="P10" s="8">
        <v>100</v>
      </c>
      <c r="Q10" s="9">
        <v>520000</v>
      </c>
      <c r="R10" t="b">
        <v>1</v>
      </c>
      <c r="S10">
        <f t="shared" si="0"/>
        <v>0.39910588689439858</v>
      </c>
    </row>
    <row r="11" spans="1:19" x14ac:dyDescent="0.25">
      <c r="A11" s="7">
        <v>10</v>
      </c>
      <c r="B11" s="8">
        <v>0.20608022489221051</v>
      </c>
      <c r="C11" s="13">
        <v>5238</v>
      </c>
      <c r="D11" s="8">
        <v>0.20641706883907321</v>
      </c>
      <c r="E11" s="8">
        <v>6.6838879320130218E-6</v>
      </c>
      <c r="F11" s="8">
        <v>4.5608339860336862E-5</v>
      </c>
      <c r="G11" s="8" t="b">
        <v>1</v>
      </c>
      <c r="H11" s="8">
        <v>4750</v>
      </c>
      <c r="I11" s="8">
        <v>5750</v>
      </c>
      <c r="J11" s="8">
        <v>0.5483708381652832</v>
      </c>
      <c r="K11" s="8">
        <v>0.30071058869361877</v>
      </c>
      <c r="L11" s="8">
        <v>1.583010255152335E-3</v>
      </c>
      <c r="M11" s="8">
        <v>3.1660206150263548E-3</v>
      </c>
      <c r="N11" s="8">
        <v>3.3684394686264718E-4</v>
      </c>
      <c r="O11" s="8">
        <v>48074134.203578062</v>
      </c>
      <c r="P11" s="8">
        <v>100</v>
      </c>
      <c r="Q11" s="9">
        <v>120000</v>
      </c>
      <c r="R11" t="b">
        <v>1</v>
      </c>
      <c r="S11">
        <f t="shared" si="0"/>
        <v>0.16345282379172099</v>
      </c>
    </row>
    <row r="12" spans="1:19" x14ac:dyDescent="0.25">
      <c r="A12" s="3">
        <v>11</v>
      </c>
      <c r="B12" s="3">
        <v>0.23251518669686461</v>
      </c>
      <c r="C12" s="11">
        <v>4579.56005859375</v>
      </c>
      <c r="D12" s="3">
        <v>0.23317898809909821</v>
      </c>
      <c r="E12" s="3">
        <v>7.2735993228434381E-8</v>
      </c>
      <c r="F12" s="3">
        <v>9.7954660304822028E-5</v>
      </c>
      <c r="G12" s="3" t="b">
        <v>1</v>
      </c>
      <c r="H12" s="3">
        <v>4475</v>
      </c>
      <c r="I12" s="3">
        <v>4625</v>
      </c>
      <c r="J12" s="3">
        <v>0.54742205142974854</v>
      </c>
      <c r="K12" s="3">
        <v>0.29967087507247919</v>
      </c>
      <c r="L12" s="3">
        <v>1.7311005239198389E-3</v>
      </c>
      <c r="M12" s="3">
        <v>3.4622012171894312E-3</v>
      </c>
      <c r="N12" s="3">
        <v>6.6380140223357142E-4</v>
      </c>
      <c r="O12" s="3">
        <v>9770596.3247689418</v>
      </c>
      <c r="P12" s="3">
        <v>100</v>
      </c>
      <c r="Q12" s="3">
        <v>100000</v>
      </c>
      <c r="R12" t="b">
        <v>1</v>
      </c>
      <c r="S12">
        <f t="shared" si="0"/>
        <v>0.28548733167222518</v>
      </c>
    </row>
    <row r="13" spans="1:19" x14ac:dyDescent="0.25">
      <c r="A13" s="7">
        <v>12</v>
      </c>
      <c r="B13" s="8">
        <v>0.26217753565747121</v>
      </c>
      <c r="C13" s="13">
        <v>4017</v>
      </c>
      <c r="D13" s="8">
        <v>0.26168420910835272</v>
      </c>
      <c r="E13" s="8">
        <v>3.8433540794358118E-7</v>
      </c>
      <c r="F13" s="8">
        <v>6.7063774622511119E-5</v>
      </c>
      <c r="G13" s="8" t="b">
        <v>1</v>
      </c>
      <c r="H13" s="8">
        <v>3250</v>
      </c>
      <c r="I13" s="8">
        <v>4250</v>
      </c>
      <c r="J13" s="8">
        <v>0.54734569787979126</v>
      </c>
      <c r="K13" s="8">
        <v>0.29958733916282648</v>
      </c>
      <c r="L13" s="8">
        <v>1.1669449488213299E-3</v>
      </c>
      <c r="M13" s="8">
        <v>2.3338899482041602E-3</v>
      </c>
      <c r="N13" s="8">
        <v>4.9332654911848905E-4</v>
      </c>
      <c r="O13" s="8">
        <v>6948227.5742930649</v>
      </c>
      <c r="P13" s="8">
        <v>100</v>
      </c>
      <c r="Q13" s="9">
        <v>220000</v>
      </c>
      <c r="R13" t="b">
        <v>1</v>
      </c>
      <c r="S13">
        <f t="shared" si="0"/>
        <v>0.1881650721452385</v>
      </c>
    </row>
    <row r="14" spans="1:19" x14ac:dyDescent="0.25">
      <c r="A14" s="4">
        <v>13</v>
      </c>
      <c r="B14" s="5">
        <v>0.29541712804948039</v>
      </c>
      <c r="C14" s="12">
        <v>3520</v>
      </c>
      <c r="D14" s="5">
        <v>0.29488134384155268</v>
      </c>
      <c r="E14" s="5">
        <v>2.0747364033013579E-5</v>
      </c>
      <c r="F14" s="5">
        <v>8.6557003669440746E-5</v>
      </c>
      <c r="G14" s="5" t="b">
        <v>1</v>
      </c>
      <c r="H14" s="5">
        <v>3250</v>
      </c>
      <c r="I14" s="5">
        <v>4250</v>
      </c>
      <c r="J14" s="5">
        <v>0.54577392339706421</v>
      </c>
      <c r="K14" s="5">
        <v>0.29786917567253107</v>
      </c>
      <c r="L14" s="5">
        <v>1.7258886854609841E-3</v>
      </c>
      <c r="M14" s="5">
        <v>3.4517776221036911E-3</v>
      </c>
      <c r="N14" s="5">
        <v>5.3578420792765868E-4</v>
      </c>
      <c r="O14" s="5">
        <v>4171051.896944467</v>
      </c>
      <c r="P14" s="5">
        <v>100</v>
      </c>
      <c r="Q14" s="6">
        <v>100000</v>
      </c>
      <c r="R14" t="b">
        <v>1</v>
      </c>
      <c r="S14">
        <f t="shared" si="0"/>
        <v>0.18136531604149858</v>
      </c>
    </row>
    <row r="15" spans="1:19" x14ac:dyDescent="0.25">
      <c r="A15" s="7">
        <v>14</v>
      </c>
      <c r="B15" s="8">
        <v>0.33260991979033733</v>
      </c>
      <c r="C15" s="13">
        <v>3095</v>
      </c>
      <c r="D15" s="8">
        <v>0.33310297131538391</v>
      </c>
      <c r="E15" s="8">
        <v>1.608051206858363E-5</v>
      </c>
      <c r="F15" s="8">
        <v>1.109635559259914E-4</v>
      </c>
      <c r="G15" s="8" t="b">
        <v>1</v>
      </c>
      <c r="H15" s="8">
        <v>2750</v>
      </c>
      <c r="I15" s="8">
        <v>3750</v>
      </c>
      <c r="J15" s="8">
        <v>0.54862445592880249</v>
      </c>
      <c r="K15" s="8">
        <v>0.30098879337310791</v>
      </c>
      <c r="L15" s="8">
        <v>1.1198749811980029E-3</v>
      </c>
      <c r="M15" s="8">
        <v>2.2397499997168779E-3</v>
      </c>
      <c r="N15" s="8">
        <v>4.9305152504663941E-4</v>
      </c>
      <c r="O15" s="8">
        <v>16243112.95374831</v>
      </c>
      <c r="P15" s="8">
        <v>100</v>
      </c>
      <c r="Q15" s="9">
        <v>240000</v>
      </c>
      <c r="R15" t="b">
        <v>1</v>
      </c>
      <c r="S15">
        <f t="shared" si="0"/>
        <v>0.14823716783836074</v>
      </c>
    </row>
    <row r="16" spans="1:19" x14ac:dyDescent="0.25">
      <c r="A16" s="7">
        <v>15</v>
      </c>
      <c r="B16" s="8">
        <v>0.37415664623331951</v>
      </c>
      <c r="C16" s="13">
        <v>2735</v>
      </c>
      <c r="D16" s="8">
        <v>0.37379944324493408</v>
      </c>
      <c r="E16" s="8">
        <v>5.6602090126034448E-8</v>
      </c>
      <c r="F16" s="8">
        <v>1.470321585657075E-4</v>
      </c>
      <c r="G16" s="8" t="b">
        <v>1</v>
      </c>
      <c r="H16" s="8">
        <v>2250</v>
      </c>
      <c r="I16" s="8">
        <v>3250</v>
      </c>
      <c r="J16" s="8">
        <v>0.54861003160476685</v>
      </c>
      <c r="K16" s="8">
        <v>0.30097296833991999</v>
      </c>
      <c r="L16" s="8">
        <v>1.036775507415356E-3</v>
      </c>
      <c r="M16" s="8">
        <v>2.0735510624945159E-3</v>
      </c>
      <c r="N16" s="8">
        <v>3.5720298838537451E-4</v>
      </c>
      <c r="O16" s="8">
        <v>5782096.6497019297</v>
      </c>
      <c r="P16" s="8">
        <v>100</v>
      </c>
      <c r="Q16" s="9">
        <v>280000</v>
      </c>
      <c r="R16" t="b">
        <v>1</v>
      </c>
      <c r="S16">
        <f t="shared" si="0"/>
        <v>9.5468834238648562E-2</v>
      </c>
    </row>
    <row r="17" spans="1:19" x14ac:dyDescent="0.25">
      <c r="A17" s="7">
        <v>16</v>
      </c>
      <c r="B17" s="8">
        <v>0.4204803812220419</v>
      </c>
      <c r="C17" s="13">
        <v>2418</v>
      </c>
      <c r="D17" s="8">
        <v>0.42015156149864202</v>
      </c>
      <c r="E17" s="8">
        <v>4.3501304958226678E-7</v>
      </c>
      <c r="F17" s="8">
        <v>1.793150877347216E-4</v>
      </c>
      <c r="G17" s="8" t="b">
        <v>1</v>
      </c>
      <c r="H17" s="8">
        <v>1750</v>
      </c>
      <c r="I17" s="8">
        <v>2750</v>
      </c>
      <c r="J17" s="8">
        <v>0.54805046319961548</v>
      </c>
      <c r="K17" s="8">
        <v>0.30035927891731262</v>
      </c>
      <c r="L17" s="8">
        <v>7.4580221563057107E-4</v>
      </c>
      <c r="M17" s="8">
        <v>1.4916043728590009E-3</v>
      </c>
      <c r="N17" s="8">
        <v>3.2881972339993132E-4</v>
      </c>
      <c r="O17" s="8">
        <v>5831329.822522331</v>
      </c>
      <c r="P17" s="8">
        <v>100</v>
      </c>
      <c r="Q17" s="9">
        <v>540000</v>
      </c>
      <c r="R17" t="b">
        <v>1</v>
      </c>
      <c r="S17">
        <f t="shared" si="0"/>
        <v>7.8200966819018461E-2</v>
      </c>
    </row>
    <row r="18" spans="1:19" x14ac:dyDescent="0.25">
      <c r="A18" s="7">
        <v>17</v>
      </c>
      <c r="B18" s="8">
        <v>0.47202271129371798</v>
      </c>
      <c r="C18" s="13">
        <v>2137</v>
      </c>
      <c r="D18" s="8">
        <v>0.47170323133468628</v>
      </c>
      <c r="E18" s="8">
        <v>5.634854005620582E-6</v>
      </c>
      <c r="F18" s="8">
        <v>2.3557996610179541E-4</v>
      </c>
      <c r="G18" s="8" t="b">
        <v>1</v>
      </c>
      <c r="H18" s="8">
        <v>1750</v>
      </c>
      <c r="I18" s="8">
        <v>2750</v>
      </c>
      <c r="J18" s="8">
        <v>0.54796117544174194</v>
      </c>
      <c r="K18" s="8">
        <v>0.30026146769523621</v>
      </c>
      <c r="L18" s="8">
        <v>8.0792467604067213E-4</v>
      </c>
      <c r="M18" s="8">
        <v>1.6158494399860499E-3</v>
      </c>
      <c r="N18" s="8">
        <v>3.1947995903169879E-4</v>
      </c>
      <c r="O18" s="8">
        <v>900934.65870304138</v>
      </c>
      <c r="P18" s="8">
        <v>100</v>
      </c>
      <c r="Q18" s="9">
        <v>460000</v>
      </c>
      <c r="R18" t="b">
        <v>1</v>
      </c>
      <c r="S18">
        <f t="shared" si="0"/>
        <v>6.7683175276899155E-2</v>
      </c>
    </row>
    <row r="19" spans="1:19" x14ac:dyDescent="0.25">
      <c r="A19" s="4">
        <v>18</v>
      </c>
      <c r="B19" s="5">
        <v>0.52923824204825332</v>
      </c>
      <c r="C19" s="12">
        <v>1883</v>
      </c>
      <c r="D19" s="5">
        <v>0.52974724769592285</v>
      </c>
      <c r="E19" s="5">
        <v>5.1842616812791684E-6</v>
      </c>
      <c r="F19" s="5">
        <v>3.0343793332576752E-4</v>
      </c>
      <c r="G19" s="5" t="b">
        <v>1</v>
      </c>
      <c r="H19" s="5">
        <v>1250</v>
      </c>
      <c r="I19" s="5">
        <v>2250</v>
      </c>
      <c r="J19" s="5">
        <v>0.54753077030181885</v>
      </c>
      <c r="K19" s="5">
        <v>0.29978996515274048</v>
      </c>
      <c r="L19" s="5">
        <v>7.4509500317359873E-4</v>
      </c>
      <c r="M19" s="5">
        <v>1.4901900431141259E-3</v>
      </c>
      <c r="N19" s="5">
        <v>5.0900564766953593E-4</v>
      </c>
      <c r="O19" s="5">
        <v>169699.3904836897</v>
      </c>
      <c r="P19" s="5">
        <v>100</v>
      </c>
      <c r="Q19" s="6">
        <v>540000</v>
      </c>
      <c r="R19" t="b">
        <v>1</v>
      </c>
      <c r="S19">
        <f t="shared" si="0"/>
        <v>9.6177034694164693E-2</v>
      </c>
    </row>
    <row r="20" spans="1:19" x14ac:dyDescent="0.25">
      <c r="A20" s="7">
        <v>19</v>
      </c>
      <c r="B20" s="8">
        <v>0.59258714857726547</v>
      </c>
      <c r="C20" s="13">
        <v>1677</v>
      </c>
      <c r="D20" s="8">
        <v>0.59311950206756592</v>
      </c>
      <c r="E20" s="8">
        <v>4.4358569084579358E-7</v>
      </c>
      <c r="F20" s="8">
        <v>3.7227064603939652E-4</v>
      </c>
      <c r="G20" s="8" t="b">
        <v>1</v>
      </c>
      <c r="H20" s="8">
        <v>1250</v>
      </c>
      <c r="I20" s="8">
        <v>2250</v>
      </c>
      <c r="J20" s="8">
        <v>0.54768466949462891</v>
      </c>
      <c r="K20" s="8">
        <v>0.2999584972858429</v>
      </c>
      <c r="L20" s="8">
        <v>9.1280778249104816E-4</v>
      </c>
      <c r="M20" s="8">
        <v>1.825615530833602E-3</v>
      </c>
      <c r="N20" s="8">
        <v>5.3235349030045231E-4</v>
      </c>
      <c r="O20" s="8">
        <v>1352956.0410496821</v>
      </c>
      <c r="P20" s="8">
        <v>100</v>
      </c>
      <c r="Q20" s="9">
        <v>360000</v>
      </c>
      <c r="R20" t="b">
        <v>1</v>
      </c>
      <c r="S20">
        <f t="shared" si="0"/>
        <v>8.9835476786591248E-2</v>
      </c>
    </row>
    <row r="21" spans="1:19" x14ac:dyDescent="0.25">
      <c r="A21" s="4">
        <v>20</v>
      </c>
      <c r="B21" s="5">
        <v>0.66252549753599888</v>
      </c>
      <c r="C21" s="12">
        <v>1495</v>
      </c>
      <c r="D21" s="5">
        <v>0.66226661205291748</v>
      </c>
      <c r="E21" s="5">
        <v>1.242995892880572E-7</v>
      </c>
      <c r="F21" s="5">
        <v>4.6213998575694859E-4</v>
      </c>
      <c r="G21" s="5" t="b">
        <v>1</v>
      </c>
      <c r="H21" s="5">
        <v>1000</v>
      </c>
      <c r="I21" s="5">
        <v>1750</v>
      </c>
      <c r="J21" s="5">
        <v>0.54668885469436646</v>
      </c>
      <c r="K21" s="5">
        <v>0.29886868596076971</v>
      </c>
      <c r="L21" s="5">
        <v>3.9871382570993741E-4</v>
      </c>
      <c r="M21" s="5">
        <v>7.9742766683921218E-4</v>
      </c>
      <c r="N21" s="5">
        <v>2.588854830813947E-4</v>
      </c>
      <c r="O21" s="5">
        <v>877918.45551437186</v>
      </c>
      <c r="P21" s="5">
        <v>100</v>
      </c>
      <c r="Q21" s="6">
        <v>1880000</v>
      </c>
      <c r="R21" t="b">
        <v>1</v>
      </c>
      <c r="S21">
        <f t="shared" si="0"/>
        <v>3.9075550155309752E-2</v>
      </c>
    </row>
    <row r="22" spans="1:19" x14ac:dyDescent="0.25">
      <c r="A22" s="3">
        <v>21</v>
      </c>
      <c r="B22" s="3">
        <v>0.73949311311490629</v>
      </c>
      <c r="C22" s="11">
        <v>1333.859985351562</v>
      </c>
      <c r="D22" s="3">
        <v>0.73984634876251221</v>
      </c>
      <c r="E22" s="3">
        <v>3.5392261565903032E-7</v>
      </c>
      <c r="F22" s="3">
        <v>5.2124843932688236E-4</v>
      </c>
      <c r="G22" s="3" t="b">
        <v>1</v>
      </c>
      <c r="H22" s="3">
        <v>1275</v>
      </c>
      <c r="I22" s="3">
        <v>1425</v>
      </c>
      <c r="J22" s="3">
        <v>0.54765290021896362</v>
      </c>
      <c r="K22" s="3">
        <v>0.29992368817329412</v>
      </c>
      <c r="L22" s="3">
        <v>1.5809377468194901E-3</v>
      </c>
      <c r="M22" s="3">
        <v>3.1618755310773849E-3</v>
      </c>
      <c r="N22" s="3">
        <v>3.5323564760592058E-4</v>
      </c>
      <c r="O22" s="3">
        <v>460066.35875580867</v>
      </c>
      <c r="P22" s="3">
        <v>100</v>
      </c>
      <c r="Q22" s="3">
        <v>120000</v>
      </c>
      <c r="R22" t="b">
        <v>1</v>
      </c>
      <c r="S22">
        <f t="shared" si="0"/>
        <v>4.7767266704893972E-2</v>
      </c>
    </row>
    <row r="23" spans="1:19" x14ac:dyDescent="0.25">
      <c r="A23" s="7">
        <v>22</v>
      </c>
      <c r="B23" s="8">
        <v>0.82389884146739789</v>
      </c>
      <c r="C23" s="13">
        <v>1192.400024414062</v>
      </c>
      <c r="D23" s="8">
        <v>0.82346981763839722</v>
      </c>
      <c r="E23" s="8">
        <v>1.049324509949656E-6</v>
      </c>
      <c r="F23" s="8">
        <v>6.9150049239397049E-4</v>
      </c>
      <c r="G23" s="8" t="b">
        <v>1</v>
      </c>
      <c r="H23" s="8">
        <v>1050</v>
      </c>
      <c r="I23" s="8">
        <v>1250</v>
      </c>
      <c r="J23" s="8">
        <v>0.54686480760574341</v>
      </c>
      <c r="K23" s="8">
        <v>0.299061119556427</v>
      </c>
      <c r="L23" s="8">
        <v>1.729338364223921E-3</v>
      </c>
      <c r="M23" s="8">
        <v>3.458676859736443E-3</v>
      </c>
      <c r="N23" s="8">
        <v>4.2902382900067432E-4</v>
      </c>
      <c r="O23" s="8">
        <v>392117.55382156838</v>
      </c>
      <c r="P23" s="8">
        <v>100</v>
      </c>
      <c r="Q23" s="9">
        <v>100000</v>
      </c>
      <c r="R23" t="b">
        <v>1</v>
      </c>
      <c r="S23">
        <f t="shared" si="0"/>
        <v>5.2072391343161155E-2</v>
      </c>
    </row>
    <row r="24" spans="1:19" x14ac:dyDescent="0.25">
      <c r="A24" s="4">
        <v>23</v>
      </c>
      <c r="B24" s="5">
        <v>0.91610319604160129</v>
      </c>
      <c r="C24" s="12">
        <v>1072.599975585938</v>
      </c>
      <c r="D24" s="5">
        <v>0.91606009006500244</v>
      </c>
      <c r="E24" s="5">
        <v>7.0510793648281833E-8</v>
      </c>
      <c r="F24" s="5">
        <v>8.8741042418405414E-4</v>
      </c>
      <c r="G24" s="5" t="b">
        <v>1</v>
      </c>
      <c r="H24" s="5">
        <v>950</v>
      </c>
      <c r="I24" s="5">
        <v>1150</v>
      </c>
      <c r="J24" s="5">
        <v>0.54583948850631714</v>
      </c>
      <c r="K24" s="5">
        <v>0.29794076085090643</v>
      </c>
      <c r="L24" s="5">
        <v>1.2205342011038401E-3</v>
      </c>
      <c r="M24" s="5">
        <v>2.4410684127360578E-3</v>
      </c>
      <c r="N24" s="5">
        <v>4.3105976598845068E-5</v>
      </c>
      <c r="O24" s="5">
        <v>158730.7108206609</v>
      </c>
      <c r="P24" s="5">
        <v>100</v>
      </c>
      <c r="Q24" s="6">
        <v>200000</v>
      </c>
      <c r="R24" t="b">
        <v>1</v>
      </c>
      <c r="S24">
        <f t="shared" si="0"/>
        <v>4.7053625383146874E-3</v>
      </c>
    </row>
    <row r="25" spans="1:19" x14ac:dyDescent="0.25">
      <c r="A25" s="4">
        <v>24</v>
      </c>
      <c r="B25" s="5">
        <v>1.0163985453103981</v>
      </c>
      <c r="C25" s="12">
        <v>963</v>
      </c>
      <c r="D25" s="5">
        <v>1.017299890518188</v>
      </c>
      <c r="E25" s="5">
        <v>1.415448878105963E-5</v>
      </c>
      <c r="F25" s="5">
        <v>1.102049835026264E-3</v>
      </c>
      <c r="G25" s="5" t="b">
        <v>1</v>
      </c>
      <c r="H25" s="5">
        <v>850</v>
      </c>
      <c r="I25" s="5">
        <v>1050</v>
      </c>
      <c r="J25" s="5">
        <v>0.54618608951568604</v>
      </c>
      <c r="K25" s="5">
        <v>0.2983192503452301</v>
      </c>
      <c r="L25" s="5">
        <v>1.5767034290475521E-3</v>
      </c>
      <c r="M25" s="5">
        <v>3.153407014906406E-3</v>
      </c>
      <c r="N25" s="5">
        <f>D25-B25</f>
        <v>9.0134520778994975E-4</v>
      </c>
      <c r="O25" s="5">
        <v>205843.68164158051</v>
      </c>
      <c r="P25" s="5">
        <v>100</v>
      </c>
      <c r="Q25" s="6">
        <v>120000</v>
      </c>
      <c r="R25" t="b">
        <v>1</v>
      </c>
      <c r="S25">
        <f t="shared" si="0"/>
        <v>8.8680292976480779E-2</v>
      </c>
    </row>
    <row r="26" spans="1:19" x14ac:dyDescent="0.25">
      <c r="A26" s="4">
        <v>25</v>
      </c>
      <c r="B26" s="5">
        <v>1.1249872354644439</v>
      </c>
      <c r="C26" s="5">
        <v>869.20001220703125</v>
      </c>
      <c r="D26" s="5">
        <v>1.125318646430969</v>
      </c>
      <c r="E26" s="5">
        <v>2.5101382561842911E-5</v>
      </c>
      <c r="F26" s="5">
        <v>1.315595000050962E-3</v>
      </c>
      <c r="G26" s="5" t="b">
        <v>1</v>
      </c>
      <c r="H26" s="5">
        <v>750</v>
      </c>
      <c r="I26" s="5">
        <v>950</v>
      </c>
      <c r="J26" s="5">
        <v>0.54351019859313965</v>
      </c>
      <c r="K26" s="5">
        <v>0.29540336132049561</v>
      </c>
      <c r="L26" s="5">
        <v>1.0271377289319821E-3</v>
      </c>
      <c r="M26" s="5">
        <v>2.0542754791676998E-3</v>
      </c>
      <c r="N26" s="5">
        <v>3.314109665248921E-4</v>
      </c>
      <c r="O26" s="5">
        <v>72221.347046929703</v>
      </c>
      <c r="P26" s="5">
        <v>100</v>
      </c>
      <c r="Q26" s="6">
        <v>280000</v>
      </c>
      <c r="R26" t="b">
        <v>1</v>
      </c>
      <c r="S26">
        <f t="shared" si="0"/>
        <v>2.9459086830267114E-2</v>
      </c>
    </row>
    <row r="27" spans="1:19" x14ac:dyDescent="0.25">
      <c r="A27">
        <v>26</v>
      </c>
      <c r="B27">
        <v>1.2419583172375741</v>
      </c>
      <c r="C27" s="14">
        <v>786.5404052734375</v>
      </c>
      <c r="D27">
        <v>1.242001533508301</v>
      </c>
      <c r="E27">
        <f t="shared" ref="E27:E48" si="1">(B27-D27)^2</f>
        <v>1.867646055540535E-9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0"/>
        <v>3.4796876937884459E-3</v>
      </c>
    </row>
    <row r="28" spans="1:19" x14ac:dyDescent="0.25">
      <c r="A28" s="4">
        <v>27</v>
      </c>
      <c r="B28" s="5">
        <v>1.3672638517295399</v>
      </c>
      <c r="C28" s="5">
        <v>714.0999755859375</v>
      </c>
      <c r="D28" s="5">
        <v>1.36687183380127</v>
      </c>
      <c r="E28" s="5">
        <v>8.8824714339352795E-7</v>
      </c>
      <c r="F28" s="5">
        <v>1.9155516056343911E-3</v>
      </c>
      <c r="G28" s="5" t="b">
        <v>1</v>
      </c>
      <c r="H28" s="5">
        <v>650</v>
      </c>
      <c r="I28" s="5">
        <v>850</v>
      </c>
      <c r="J28" s="5">
        <v>0.54211878776550293</v>
      </c>
      <c r="K28" s="5">
        <v>0.29389277100563049</v>
      </c>
      <c r="L28" s="5">
        <v>1.1558011390144041E-3</v>
      </c>
      <c r="M28" s="5">
        <v>2.3116022348403931E-3</v>
      </c>
      <c r="N28" s="5">
        <v>3.9201792827081578E-4</v>
      </c>
      <c r="O28" s="5">
        <v>17033.04541203364</v>
      </c>
      <c r="P28" s="5">
        <v>100</v>
      </c>
      <c r="Q28" s="6">
        <v>220000</v>
      </c>
      <c r="R28" t="b">
        <v>1</v>
      </c>
      <c r="S28">
        <f t="shared" si="0"/>
        <v>2.8671710129316085E-2</v>
      </c>
    </row>
    <row r="29" spans="1:19" x14ac:dyDescent="0.25">
      <c r="A29">
        <v>28</v>
      </c>
      <c r="B29">
        <v>1.500696076675252</v>
      </c>
      <c r="C29" s="14">
        <v>651.10205078125</v>
      </c>
      <c r="D29">
        <v>1.5002703666687009</v>
      </c>
      <c r="E29">
        <f t="shared" si="1"/>
        <v>1.8122900967765719E-7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0"/>
        <v>2.8367503131860618E-2</v>
      </c>
    </row>
    <row r="30" spans="1:19" x14ac:dyDescent="0.25">
      <c r="A30" s="4">
        <v>29</v>
      </c>
      <c r="B30" s="5">
        <v>1.641866982058007</v>
      </c>
      <c r="C30" s="5">
        <v>595.4000244140625</v>
      </c>
      <c r="D30" s="5">
        <v>1.6419694423675539</v>
      </c>
      <c r="E30" s="5">
        <v>3.7988812096045883E-8</v>
      </c>
      <c r="F30" s="5">
        <v>2.767425030469894E-3</v>
      </c>
      <c r="G30" s="5" t="b">
        <v>1</v>
      </c>
      <c r="H30" s="5">
        <v>450</v>
      </c>
      <c r="I30" s="5">
        <v>650</v>
      </c>
      <c r="J30" s="5">
        <v>0.54004651308059692</v>
      </c>
      <c r="K30" s="5">
        <v>0.29165023565292358</v>
      </c>
      <c r="L30" s="5">
        <v>6.4547904280521024E-4</v>
      </c>
      <c r="M30" s="5">
        <v>1.290958025492728E-3</v>
      </c>
      <c r="N30" s="5">
        <v>1.0246030954674799E-4</v>
      </c>
      <c r="O30" s="5">
        <v>16321.432890700011</v>
      </c>
      <c r="P30" s="5">
        <v>100</v>
      </c>
      <c r="Q30" s="6">
        <v>700000</v>
      </c>
      <c r="R30" t="b">
        <v>1</v>
      </c>
      <c r="S30">
        <f t="shared" si="0"/>
        <v>6.2404756698571633E-3</v>
      </c>
    </row>
    <row r="31" spans="1:19" x14ac:dyDescent="0.25">
      <c r="A31" s="4">
        <v>30</v>
      </c>
      <c r="B31" s="5">
        <v>1.7901920231041131</v>
      </c>
      <c r="C31" s="5">
        <v>547.0999755859375</v>
      </c>
      <c r="D31" s="5">
        <v>1.7905030250549321</v>
      </c>
      <c r="E31" s="5">
        <v>8.0293162341149582E-8</v>
      </c>
      <c r="F31" s="5">
        <v>3.2203758601099248E-3</v>
      </c>
      <c r="G31" s="5" t="b">
        <v>1</v>
      </c>
      <c r="H31" s="5">
        <v>450</v>
      </c>
      <c r="I31" s="5">
        <v>650</v>
      </c>
      <c r="J31" s="5">
        <v>0.53896313905715942</v>
      </c>
      <c r="K31" s="5">
        <v>0.29048123955726618</v>
      </c>
      <c r="L31" s="5">
        <v>7.9465779517971433E-4</v>
      </c>
      <c r="M31" s="5">
        <v>1.5893157105892901E-3</v>
      </c>
      <c r="N31" s="5">
        <v>3.1100195081879001E-4</v>
      </c>
      <c r="O31" s="5">
        <v>12053.0480520694</v>
      </c>
      <c r="P31" s="5">
        <v>100</v>
      </c>
      <c r="Q31" s="6">
        <v>460000</v>
      </c>
      <c r="R31" t="b">
        <v>1</v>
      </c>
      <c r="S31">
        <f t="shared" si="0"/>
        <v>1.7372547011997433E-2</v>
      </c>
    </row>
    <row r="32" spans="1:19" x14ac:dyDescent="0.25">
      <c r="A32" s="3">
        <v>31</v>
      </c>
      <c r="B32" s="3">
        <v>1.9448797373273861</v>
      </c>
      <c r="C32" s="11">
        <v>503.97000122070313</v>
      </c>
      <c r="D32" s="3">
        <v>1.9447906017303469</v>
      </c>
      <c r="E32" s="3">
        <v>2.5283276272602961E-7</v>
      </c>
      <c r="F32" s="3">
        <v>3.7450545933097601E-3</v>
      </c>
      <c r="G32" s="3" t="b">
        <v>1</v>
      </c>
      <c r="H32" s="3">
        <v>487.5</v>
      </c>
      <c r="I32" s="3">
        <v>562.5</v>
      </c>
      <c r="J32" s="3">
        <v>0.54014492034912109</v>
      </c>
      <c r="K32" s="3">
        <v>0.29175651073455811</v>
      </c>
      <c r="L32" s="3">
        <v>1.7080882148734541E-3</v>
      </c>
      <c r="M32" s="3">
        <v>3.4161766525357962E-3</v>
      </c>
      <c r="N32" s="3">
        <v>8.9135597038936254E-5</v>
      </c>
      <c r="O32" s="3">
        <v>3564.952095742784</v>
      </c>
      <c r="P32" s="3">
        <v>100</v>
      </c>
      <c r="Q32" s="3">
        <v>100000</v>
      </c>
      <c r="R32" t="b">
        <v>1</v>
      </c>
      <c r="S32">
        <f t="shared" si="0"/>
        <v>4.583090426013927E-3</v>
      </c>
    </row>
    <row r="33" spans="1:19" x14ac:dyDescent="0.25">
      <c r="A33" s="4">
        <v>32</v>
      </c>
      <c r="B33" s="5">
        <v>2.104928884729083</v>
      </c>
      <c r="C33" s="5">
        <v>466.6300048828125</v>
      </c>
      <c r="D33" s="5">
        <v>2.1047952175140381</v>
      </c>
      <c r="E33" s="5">
        <v>2.668564775376581E-5</v>
      </c>
      <c r="F33" s="5">
        <v>4.4279671274125576E-3</v>
      </c>
      <c r="G33" s="5" t="b">
        <v>1</v>
      </c>
      <c r="H33" s="5">
        <v>400</v>
      </c>
      <c r="I33" s="5">
        <v>550</v>
      </c>
      <c r="J33" s="5">
        <v>0.54028064012527466</v>
      </c>
      <c r="K33" s="5">
        <v>0.29190313816070562</v>
      </c>
      <c r="L33" s="5">
        <v>1.3507016003131869E-3</v>
      </c>
      <c r="M33" s="5">
        <v>2.7014031074941158E-3</v>
      </c>
      <c r="N33" s="5">
        <v>1.336672150453744E-4</v>
      </c>
      <c r="O33" s="5">
        <v>10200.49434702924</v>
      </c>
      <c r="P33" s="5">
        <v>100</v>
      </c>
      <c r="Q33" s="6">
        <v>160000</v>
      </c>
      <c r="R33" t="b">
        <v>1</v>
      </c>
      <c r="S33">
        <f t="shared" si="0"/>
        <v>6.3502009980056012E-3</v>
      </c>
    </row>
    <row r="34" spans="1:19" x14ac:dyDescent="0.25">
      <c r="A34" s="4">
        <v>33</v>
      </c>
      <c r="B34" s="5">
        <v>2.2691343691356791</v>
      </c>
      <c r="C34" s="5">
        <v>433.69000244140619</v>
      </c>
      <c r="D34" s="5">
        <v>2.268783330917358</v>
      </c>
      <c r="E34" s="5">
        <v>5.2947962103644386E-7</v>
      </c>
      <c r="F34" s="5">
        <v>5.1063201390206814E-3</v>
      </c>
      <c r="G34" s="5" t="b">
        <v>1</v>
      </c>
      <c r="H34" s="5">
        <v>400</v>
      </c>
      <c r="I34" s="5">
        <v>550</v>
      </c>
      <c r="J34" s="5">
        <v>0.53960871696472168</v>
      </c>
      <c r="K34" s="5">
        <v>0.29117757081985468</v>
      </c>
      <c r="L34" s="5">
        <v>1.7063925908896609E-3</v>
      </c>
      <c r="M34" s="5">
        <v>3.4127852413803339E-3</v>
      </c>
      <c r="N34" s="5">
        <v>3.5103821832027648E-4</v>
      </c>
      <c r="O34" s="5">
        <v>599.24434933559655</v>
      </c>
      <c r="P34" s="5">
        <v>100</v>
      </c>
      <c r="Q34" s="6">
        <v>100000</v>
      </c>
      <c r="R34" t="b">
        <v>1</v>
      </c>
      <c r="S34">
        <f t="shared" si="0"/>
        <v>1.5470138000421197E-2</v>
      </c>
    </row>
    <row r="35" spans="1:19" x14ac:dyDescent="0.25">
      <c r="A35" s="4">
        <v>34</v>
      </c>
      <c r="B35" s="5">
        <v>2.436102626529673</v>
      </c>
      <c r="C35" s="5">
        <v>404.75</v>
      </c>
      <c r="D35" s="5">
        <v>2.4367704391479492</v>
      </c>
      <c r="E35" s="5">
        <v>5.8791192714124918E-7</v>
      </c>
      <c r="F35" s="5">
        <v>5.738699808716774E-3</v>
      </c>
      <c r="G35" s="5" t="b">
        <v>1</v>
      </c>
      <c r="H35" s="5">
        <v>400</v>
      </c>
      <c r="I35" s="5">
        <v>550</v>
      </c>
      <c r="J35" s="5">
        <v>0.54559206962585449</v>
      </c>
      <c r="K35" s="5">
        <v>0.29767072200775152</v>
      </c>
      <c r="L35" s="5">
        <v>1.4581561410577581E-3</v>
      </c>
      <c r="M35" s="5">
        <v>2.9163123108446598E-3</v>
      </c>
      <c r="N35" s="5">
        <v>6.6781261827575378E-4</v>
      </c>
      <c r="O35" s="5">
        <v>474.4527969668971</v>
      </c>
      <c r="P35" s="5">
        <v>100</v>
      </c>
      <c r="Q35" s="6">
        <v>140000</v>
      </c>
      <c r="R35" t="b">
        <v>1</v>
      </c>
      <c r="S35">
        <f t="shared" si="0"/>
        <v>2.7413156202991333E-2</v>
      </c>
    </row>
    <row r="36" spans="1:19" x14ac:dyDescent="0.25">
      <c r="A36" s="4">
        <v>35</v>
      </c>
      <c r="B36" s="5">
        <v>2.6042764235395381</v>
      </c>
      <c r="C36" s="5">
        <v>379.52999877929688</v>
      </c>
      <c r="D36" s="5">
        <v>2.604678869247437</v>
      </c>
      <c r="E36" s="5">
        <v>3.8091113765403861E-6</v>
      </c>
      <c r="F36" s="5">
        <v>6.7103966139256954E-3</v>
      </c>
      <c r="G36" s="5" t="b">
        <v>1</v>
      </c>
      <c r="H36" s="5">
        <v>250</v>
      </c>
      <c r="I36" s="5">
        <v>450</v>
      </c>
      <c r="J36" s="5">
        <v>0.54911023378372192</v>
      </c>
      <c r="K36" s="5">
        <v>0.30152204632759089</v>
      </c>
      <c r="L36" s="5">
        <v>1.227847809881204E-3</v>
      </c>
      <c r="M36" s="5">
        <v>2.4556955322623249E-3</v>
      </c>
      <c r="N36" s="5">
        <v>4.0244570789882422E-4</v>
      </c>
      <c r="O36" s="5">
        <v>1110.385098986133</v>
      </c>
      <c r="P36" s="5">
        <v>100</v>
      </c>
      <c r="Q36" s="6">
        <v>200000</v>
      </c>
      <c r="R36" t="b">
        <v>1</v>
      </c>
      <c r="S36">
        <f t="shared" si="0"/>
        <v>1.5453263880177898E-2</v>
      </c>
    </row>
    <row r="37" spans="1:19" x14ac:dyDescent="0.25">
      <c r="A37" s="4">
        <v>36</v>
      </c>
      <c r="B37" s="5">
        <v>2.771968175131601</v>
      </c>
      <c r="C37" s="5">
        <v>357.6099853515625</v>
      </c>
      <c r="D37" s="5">
        <v>2.7717258930206299</v>
      </c>
      <c r="E37" s="5">
        <v>3.8734175177523873E-5</v>
      </c>
      <c r="F37" s="5">
        <v>7.5418823398649693E-3</v>
      </c>
      <c r="G37" s="5" t="b">
        <v>1</v>
      </c>
      <c r="H37" s="5">
        <v>250</v>
      </c>
      <c r="I37" s="5">
        <v>450</v>
      </c>
      <c r="J37" s="5">
        <v>0.55216401815414429</v>
      </c>
      <c r="K37" s="5">
        <v>0.30488511919975281</v>
      </c>
      <c r="L37" s="5">
        <v>1.3804100453853609E-3</v>
      </c>
      <c r="M37" s="5">
        <v>2.760820090770721E-3</v>
      </c>
      <c r="N37" s="5">
        <v>2.4228211097110369E-4</v>
      </c>
      <c r="O37" s="5">
        <v>4395.2188351561836</v>
      </c>
      <c r="P37" s="5">
        <v>100</v>
      </c>
      <c r="Q37" s="6">
        <v>160000</v>
      </c>
      <c r="R37" t="b">
        <v>1</v>
      </c>
      <c r="S37">
        <f t="shared" si="0"/>
        <v>8.7404362411051557E-3</v>
      </c>
    </row>
    <row r="38" spans="1:19" x14ac:dyDescent="0.25">
      <c r="A38" s="4">
        <v>37</v>
      </c>
      <c r="B38" s="5">
        <v>2.937400074153079</v>
      </c>
      <c r="C38" s="5">
        <v>338.16000366210938</v>
      </c>
      <c r="D38" s="5">
        <v>2.9371383190155029</v>
      </c>
      <c r="E38" s="5">
        <v>2.1526125237869559E-7</v>
      </c>
      <c r="F38" s="5">
        <v>8.3334473893046379E-3</v>
      </c>
      <c r="G38" s="5" t="b">
        <v>1</v>
      </c>
      <c r="H38" s="5">
        <v>250</v>
      </c>
      <c r="I38" s="5">
        <v>450</v>
      </c>
      <c r="J38" s="5">
        <v>0.55657583475112915</v>
      </c>
      <c r="K38" s="5">
        <v>0.30977663397789001</v>
      </c>
      <c r="L38" s="5">
        <v>1.7600473284230631E-3</v>
      </c>
      <c r="M38" s="5">
        <v>3.52009478956461E-3</v>
      </c>
      <c r="N38" s="5">
        <v>2.617551375765359E-4</v>
      </c>
      <c r="O38" s="5">
        <v>1799.9507288319389</v>
      </c>
      <c r="P38" s="5">
        <v>100</v>
      </c>
      <c r="Q38" s="6">
        <v>100000</v>
      </c>
      <c r="R38" t="b">
        <v>1</v>
      </c>
      <c r="S38">
        <f t="shared" si="0"/>
        <v>8.9111163262977043E-3</v>
      </c>
    </row>
    <row r="39" spans="1:19" x14ac:dyDescent="0.25">
      <c r="A39" s="4">
        <v>38</v>
      </c>
      <c r="B39" s="5">
        <v>3.0987486480304991</v>
      </c>
      <c r="C39" s="5">
        <v>321.6300048828125</v>
      </c>
      <c r="D39" s="5">
        <v>3.0990738868713379</v>
      </c>
      <c r="E39" s="5">
        <v>1.447017621103441E-5</v>
      </c>
      <c r="F39" s="5">
        <v>9.0668704360723495E-3</v>
      </c>
      <c r="G39" s="5" t="b">
        <v>1</v>
      </c>
      <c r="H39" s="5">
        <v>250</v>
      </c>
      <c r="I39" s="5">
        <v>450</v>
      </c>
      <c r="J39" s="5">
        <v>0.55993026494979858</v>
      </c>
      <c r="K39" s="5">
        <v>0.31352192163467407</v>
      </c>
      <c r="L39" s="5">
        <v>1.399825662374497E-3</v>
      </c>
      <c r="M39" s="5">
        <v>2.7996513526886702E-3</v>
      </c>
      <c r="N39" s="5">
        <v>3.2523884083879301E-4</v>
      </c>
      <c r="O39" s="5">
        <v>608.21228045489568</v>
      </c>
      <c r="P39" s="5">
        <v>100</v>
      </c>
      <c r="Q39" s="6">
        <v>160000</v>
      </c>
      <c r="R39" t="b">
        <v>1</v>
      </c>
      <c r="S39">
        <f t="shared" si="0"/>
        <v>1.049581227072122E-2</v>
      </c>
    </row>
    <row r="40" spans="1:19" x14ac:dyDescent="0.25">
      <c r="A40" s="4">
        <v>39</v>
      </c>
      <c r="B40" s="5">
        <v>3.2541909293254512</v>
      </c>
      <c r="C40" s="5">
        <v>307.48001098632813</v>
      </c>
      <c r="D40" s="5">
        <v>3.254597663879395</v>
      </c>
      <c r="E40" s="5">
        <v>1.091004833142506E-6</v>
      </c>
      <c r="F40" s="5">
        <v>9.5614735037088394E-3</v>
      </c>
      <c r="G40" s="5" t="b">
        <v>1</v>
      </c>
      <c r="H40" s="5">
        <v>250</v>
      </c>
      <c r="I40" s="5">
        <v>450</v>
      </c>
      <c r="J40" s="5">
        <v>0.55850476026535034</v>
      </c>
      <c r="K40" s="5">
        <v>0.31192755699157709</v>
      </c>
      <c r="L40" s="5">
        <v>1.3962619006633759E-3</v>
      </c>
      <c r="M40" s="5">
        <v>2.7925237081944938E-3</v>
      </c>
      <c r="N40" s="5">
        <v>4.0673455394335528E-4</v>
      </c>
      <c r="O40" s="5">
        <v>683.64456515644645</v>
      </c>
      <c r="P40" s="5">
        <v>100</v>
      </c>
      <c r="Q40" s="6">
        <v>160000</v>
      </c>
      <c r="R40" t="b">
        <v>0</v>
      </c>
      <c r="S40">
        <f t="shared" si="0"/>
        <v>1.249879195095863E-2</v>
      </c>
    </row>
    <row r="41" spans="1:19" x14ac:dyDescent="0.25">
      <c r="A41">
        <v>40</v>
      </c>
      <c r="B41">
        <v>3.4019493212427241</v>
      </c>
      <c r="C41" s="14">
        <v>295.44149780273438</v>
      </c>
      <c r="D41">
        <v>3.4018938541412349</v>
      </c>
      <c r="E41">
        <f t="shared" si="1"/>
        <v>3.0765993476111782E-9</v>
      </c>
      <c r="F41">
        <v>1.076914463192225E-2</v>
      </c>
      <c r="G41" t="b">
        <v>1</v>
      </c>
      <c r="H41">
        <v>237.5</v>
      </c>
      <c r="I41">
        <v>312.5</v>
      </c>
      <c r="J41">
        <v>0.55975854396820068</v>
      </c>
      <c r="K41">
        <v>0.31332963705062872</v>
      </c>
      <c r="L41">
        <v>3.9580906226702288E-3</v>
      </c>
      <c r="M41">
        <v>7.9161813482642174E-3</v>
      </c>
      <c r="N41">
        <v>5.5467101489181658E-5</v>
      </c>
      <c r="O41">
        <v>386.16426949736461</v>
      </c>
      <c r="P41">
        <v>70</v>
      </c>
      <c r="Q41">
        <v>20000</v>
      </c>
      <c r="R41" t="b">
        <v>0</v>
      </c>
      <c r="S41">
        <f t="shared" si="0"/>
        <v>1.6304505520652393E-3</v>
      </c>
    </row>
    <row r="42" spans="1:19" x14ac:dyDescent="0.25">
      <c r="A42">
        <v>41</v>
      </c>
      <c r="B42">
        <v>3.540332478193541</v>
      </c>
      <c r="C42" s="14">
        <v>285.37942504882813</v>
      </c>
      <c r="D42">
        <v>3.5418522357940669</v>
      </c>
      <c r="E42">
        <f t="shared" si="1"/>
        <v>2.3096631643562933E-6</v>
      </c>
      <c r="F42">
        <v>1.1191254481673241E-2</v>
      </c>
      <c r="G42" t="b">
        <v>1</v>
      </c>
      <c r="H42">
        <v>237.5</v>
      </c>
      <c r="I42">
        <v>312.5</v>
      </c>
      <c r="J42">
        <v>0.55980002880096436</v>
      </c>
      <c r="K42">
        <v>0.3133760392665863</v>
      </c>
      <c r="L42">
        <v>3.9583839647358652E-3</v>
      </c>
      <c r="M42">
        <v>7.9167680814862251E-3</v>
      </c>
      <c r="N42">
        <v>2.1688224736493567E-4</v>
      </c>
      <c r="O42">
        <v>268.24070534576867</v>
      </c>
      <c r="P42">
        <v>70</v>
      </c>
      <c r="Q42">
        <v>20000</v>
      </c>
      <c r="R42" t="b">
        <v>0</v>
      </c>
      <c r="S42">
        <f t="shared" si="0"/>
        <v>6.1260417969444527E-3</v>
      </c>
    </row>
    <row r="43" spans="1:19" x14ac:dyDescent="0.25">
      <c r="A43" s="4">
        <v>42</v>
      </c>
      <c r="B43" s="5">
        <v>3.6677700686639909</v>
      </c>
      <c r="C43" s="5">
        <v>277.04998779296881</v>
      </c>
      <c r="D43" s="5">
        <v>3.6680006980896001</v>
      </c>
      <c r="E43" s="5">
        <v>8.2948190538445488E-9</v>
      </c>
      <c r="F43" s="5">
        <v>1.2039560824632639E-2</v>
      </c>
      <c r="G43" s="5" t="b">
        <v>1</v>
      </c>
      <c r="H43" s="5">
        <v>200</v>
      </c>
      <c r="I43" s="5">
        <v>350</v>
      </c>
      <c r="J43" s="5">
        <v>0.55924546718597412</v>
      </c>
      <c r="K43" s="5">
        <v>0.31275546550750732</v>
      </c>
      <c r="L43" s="5">
        <v>9.8861565548760276E-4</v>
      </c>
      <c r="M43" s="5">
        <v>1.977231353521347E-3</v>
      </c>
      <c r="N43" s="5">
        <v>2.3062942560869709E-4</v>
      </c>
      <c r="O43" s="5">
        <v>862.36023601301861</v>
      </c>
      <c r="P43" s="5">
        <v>100</v>
      </c>
      <c r="Q43" s="6">
        <v>320000</v>
      </c>
      <c r="R43" t="b">
        <v>0</v>
      </c>
      <c r="S43">
        <f t="shared" si="0"/>
        <v>6.2880011912171303E-3</v>
      </c>
    </row>
    <row r="44" spans="1:19" x14ac:dyDescent="0.25">
      <c r="A44" s="4">
        <v>43</v>
      </c>
      <c r="B44" s="5">
        <v>3.782840056259261</v>
      </c>
      <c r="C44" s="5">
        <v>270.04000854492188</v>
      </c>
      <c r="D44" s="5">
        <v>3.7836558818817139</v>
      </c>
      <c r="E44" s="5">
        <v>1.271824658033438E-5</v>
      </c>
      <c r="F44" s="5">
        <v>1.2431502342224119E-2</v>
      </c>
      <c r="G44" s="5" t="b">
        <v>1</v>
      </c>
      <c r="H44" s="5">
        <v>200</v>
      </c>
      <c r="I44" s="5">
        <v>350</v>
      </c>
      <c r="J44" s="5">
        <v>0.55891507863998413</v>
      </c>
      <c r="K44" s="5">
        <v>0.31238606572151179</v>
      </c>
      <c r="L44" s="5">
        <v>1.096122650933279E-3</v>
      </c>
      <c r="M44" s="5">
        <v>2.1922453306615348E-3</v>
      </c>
      <c r="N44" s="5">
        <v>8.1582562245241519E-4</v>
      </c>
      <c r="O44" s="5">
        <v>1213.260447624541</v>
      </c>
      <c r="P44" s="5">
        <v>100</v>
      </c>
      <c r="Q44" s="6">
        <v>260000</v>
      </c>
      <c r="R44" t="b">
        <v>0</v>
      </c>
      <c r="S44">
        <f t="shared" si="0"/>
        <v>2.1566484713053426E-2</v>
      </c>
    </row>
    <row r="45" spans="1:19" x14ac:dyDescent="0.25">
      <c r="A45" s="4">
        <v>44</v>
      </c>
      <c r="B45" s="5">
        <v>3.884288006826818</v>
      </c>
      <c r="C45" s="5">
        <v>264.29000854492188</v>
      </c>
      <c r="D45" s="5">
        <v>3.8846390247344971</v>
      </c>
      <c r="E45" s="5">
        <v>5.1706228987313807E-7</v>
      </c>
      <c r="F45" s="5">
        <v>1.280318014323711E-2</v>
      </c>
      <c r="G45" s="5" t="b">
        <v>1</v>
      </c>
      <c r="H45" s="5">
        <v>200</v>
      </c>
      <c r="I45" s="5">
        <v>350</v>
      </c>
      <c r="J45" s="5">
        <v>0.56204813718795776</v>
      </c>
      <c r="K45" s="5">
        <v>0.31589809060096741</v>
      </c>
      <c r="L45" s="5">
        <v>1.256777841379401E-3</v>
      </c>
      <c r="M45" s="5">
        <v>2.5135558098554611E-3</v>
      </c>
      <c r="N45" s="5">
        <v>3.5101790767955171E-4</v>
      </c>
      <c r="O45" s="5">
        <v>762.56049174356963</v>
      </c>
      <c r="P45" s="5">
        <v>100</v>
      </c>
      <c r="Q45" s="6">
        <v>200000</v>
      </c>
      <c r="R45" t="b">
        <v>0</v>
      </c>
      <c r="S45">
        <f t="shared" si="0"/>
        <v>9.0368661402713008E-3</v>
      </c>
    </row>
    <row r="46" spans="1:19" x14ac:dyDescent="0.25">
      <c r="A46" s="4">
        <v>45</v>
      </c>
      <c r="B46" s="5">
        <v>3.9710387796361699</v>
      </c>
      <c r="C46" s="5">
        <v>259.79998779296881</v>
      </c>
      <c r="D46" s="5">
        <v>3.9706728458404541</v>
      </c>
      <c r="E46" s="5">
        <v>2.7646749458654089E-6</v>
      </c>
      <c r="F46" s="5">
        <v>1.386785786598921E-2</v>
      </c>
      <c r="G46" s="5" t="b">
        <v>1</v>
      </c>
      <c r="H46" s="5">
        <v>150</v>
      </c>
      <c r="I46" s="5">
        <v>350</v>
      </c>
      <c r="J46" s="5">
        <v>0.56199496984481812</v>
      </c>
      <c r="K46" s="5">
        <v>0.31583836674690252</v>
      </c>
      <c r="L46" s="5">
        <v>1.147167428442186E-3</v>
      </c>
      <c r="M46" s="5">
        <v>2.2943348158150911E-3</v>
      </c>
      <c r="N46" s="5">
        <v>3.6593379571581147E-4</v>
      </c>
      <c r="O46" s="5">
        <v>1299.933826459541</v>
      </c>
      <c r="P46" s="5">
        <v>100</v>
      </c>
      <c r="Q46" s="6">
        <v>240000</v>
      </c>
      <c r="R46" t="b">
        <v>0</v>
      </c>
      <c r="S46">
        <f t="shared" si="0"/>
        <v>9.2150647732868185E-3</v>
      </c>
    </row>
    <row r="47" spans="1:19" x14ac:dyDescent="0.25">
      <c r="A47" s="4">
        <v>46</v>
      </c>
      <c r="B47" s="5">
        <v>4.0422016787925781</v>
      </c>
      <c r="C47" s="5">
        <v>256.17999267578119</v>
      </c>
      <c r="D47" s="5">
        <v>4.0414037704467773</v>
      </c>
      <c r="E47" s="5">
        <v>4.4219859773875208E-8</v>
      </c>
      <c r="F47" s="5">
        <v>1.4250532723963261E-2</v>
      </c>
      <c r="G47" s="5" t="b">
        <v>1</v>
      </c>
      <c r="H47" s="5">
        <v>150</v>
      </c>
      <c r="I47" s="5">
        <v>350</v>
      </c>
      <c r="J47" s="5">
        <v>0.56292015314102173</v>
      </c>
      <c r="K47" s="5">
        <v>0.31687912344932562</v>
      </c>
      <c r="L47" s="5">
        <v>1.0638190951410989E-3</v>
      </c>
      <c r="M47" s="5">
        <v>2.127638086676598E-3</v>
      </c>
      <c r="N47" s="5">
        <v>7.9790834580073522E-4</v>
      </c>
      <c r="O47" s="5">
        <v>9.6176249992013592</v>
      </c>
      <c r="P47" s="5">
        <v>100</v>
      </c>
      <c r="Q47" s="6">
        <v>280000</v>
      </c>
      <c r="R47" t="b">
        <v>0</v>
      </c>
      <c r="S47">
        <f t="shared" si="0"/>
        <v>1.973944917164731E-2</v>
      </c>
    </row>
    <row r="48" spans="1:19" x14ac:dyDescent="0.25">
      <c r="A48">
        <v>47</v>
      </c>
      <c r="B48">
        <v>4.097070649025869</v>
      </c>
      <c r="C48" s="14">
        <v>253.69715881347659</v>
      </c>
      <c r="D48">
        <v>4.1021084785461426</v>
      </c>
      <c r="E48">
        <f t="shared" si="1"/>
        <v>2.5379726275339526E-5</v>
      </c>
      <c r="F48">
        <v>1.2739351019263269E-2</v>
      </c>
      <c r="G48" t="b">
        <v>1</v>
      </c>
      <c r="H48">
        <v>243.75</v>
      </c>
      <c r="I48">
        <v>281.25</v>
      </c>
      <c r="J48">
        <v>0.57192689180374146</v>
      </c>
      <c r="K48">
        <v>0.32710033655166632</v>
      </c>
      <c r="L48">
        <v>4.0441338353737043E-3</v>
      </c>
      <c r="M48">
        <v>8.088267408311367E-3</v>
      </c>
      <c r="N48">
        <v>2.6707375245127452E-4</v>
      </c>
      <c r="O48">
        <v>184.4378025094268</v>
      </c>
      <c r="P48">
        <v>70</v>
      </c>
      <c r="Q48">
        <v>20000</v>
      </c>
      <c r="R48" t="b">
        <v>0</v>
      </c>
      <c r="S48">
        <f t="shared" si="0"/>
        <v>6.5186513811953603E-3</v>
      </c>
    </row>
    <row r="49" spans="1:19" x14ac:dyDescent="0.25">
      <c r="A49" s="4">
        <v>48</v>
      </c>
      <c r="B49" s="5">
        <v>4.1351213578181021</v>
      </c>
      <c r="C49" s="5">
        <v>251.94000244140619</v>
      </c>
      <c r="D49" s="5">
        <v>4.1354131698608398</v>
      </c>
      <c r="E49" s="5">
        <v>7.0491805672645569E-6</v>
      </c>
      <c r="F49" s="5">
        <v>1.448707282543182E-2</v>
      </c>
      <c r="G49" s="5" t="b">
        <v>1</v>
      </c>
      <c r="H49" s="5">
        <v>150</v>
      </c>
      <c r="I49" s="5">
        <v>350</v>
      </c>
      <c r="J49" s="5">
        <v>0.56571424007415771</v>
      </c>
      <c r="K49" s="5">
        <v>0.32003259658813482</v>
      </c>
      <c r="L49" s="5">
        <v>1.0000509384255789E-3</v>
      </c>
      <c r="M49" s="5">
        <v>2.0001018419861789E-3</v>
      </c>
      <c r="N49" s="5">
        <v>2.9181204273776018E-4</v>
      </c>
      <c r="O49" s="5">
        <v>1191.183645507849</v>
      </c>
      <c r="P49" s="5">
        <v>100</v>
      </c>
      <c r="Q49" s="6">
        <v>320000</v>
      </c>
      <c r="R49" t="b">
        <v>0</v>
      </c>
      <c r="S49">
        <f t="shared" si="0"/>
        <v>7.0569160488130117E-3</v>
      </c>
    </row>
    <row r="50" spans="1:19" x14ac:dyDescent="0.25">
      <c r="A50" s="4">
        <v>49</v>
      </c>
      <c r="B50" s="5">
        <v>4.15600701030269</v>
      </c>
      <c r="C50" s="5">
        <v>250.9100036621094</v>
      </c>
      <c r="D50" s="5">
        <v>4.1561617851257324</v>
      </c>
      <c r="E50" s="5">
        <v>3.2832758734002709E-10</v>
      </c>
      <c r="F50" s="5">
        <v>1.4582906849682329E-2</v>
      </c>
      <c r="G50" s="5" t="b">
        <v>1</v>
      </c>
      <c r="H50" s="5">
        <v>150</v>
      </c>
      <c r="I50" s="5">
        <v>350</v>
      </c>
      <c r="J50" s="5">
        <v>0.56741124391555786</v>
      </c>
      <c r="K50" s="5">
        <v>0.32195550203323359</v>
      </c>
      <c r="L50" s="5">
        <v>8.9715595038125987E-4</v>
      </c>
      <c r="M50" s="5">
        <v>1.7943120328709481E-3</v>
      </c>
      <c r="N50" s="5">
        <v>1.5477482304238069E-4</v>
      </c>
      <c r="O50" s="5">
        <v>587.78948086663559</v>
      </c>
      <c r="P50" s="5">
        <v>100</v>
      </c>
      <c r="Q50" s="6">
        <v>400000</v>
      </c>
      <c r="R50" t="b">
        <v>0</v>
      </c>
      <c r="S50">
        <f t="shared" si="0"/>
        <v>3.7241232427831766E-3</v>
      </c>
    </row>
    <row r="51" spans="1:19" x14ac:dyDescent="0.25">
      <c r="A51" s="4">
        <v>50</v>
      </c>
      <c r="B51" s="5">
        <v>4.1595545203155497</v>
      </c>
      <c r="C51" s="5">
        <v>250.78999328613281</v>
      </c>
      <c r="D51" s="5">
        <v>4.1590938568115234</v>
      </c>
      <c r="E51" s="5">
        <v>2.1217510948190471E-7</v>
      </c>
      <c r="F51" s="5">
        <v>1.455566193908453E-2</v>
      </c>
      <c r="G51" s="5" t="b">
        <v>1</v>
      </c>
      <c r="H51" s="5">
        <v>150</v>
      </c>
      <c r="I51" s="5">
        <v>350</v>
      </c>
      <c r="J51" s="5">
        <v>0.56645774841308594</v>
      </c>
      <c r="K51" s="5">
        <v>0.32087439298629761</v>
      </c>
      <c r="L51" s="5">
        <v>6.9726128828962505E-4</v>
      </c>
      <c r="M51" s="5">
        <v>1.3945224927738311E-3</v>
      </c>
      <c r="N51" s="5">
        <v>4.6066350402629302E-4</v>
      </c>
      <c r="O51" s="5">
        <v>884.98793764202674</v>
      </c>
      <c r="P51" s="5">
        <v>100</v>
      </c>
      <c r="Q51" s="6">
        <v>660000</v>
      </c>
      <c r="R51" t="b">
        <v>0</v>
      </c>
      <c r="S51">
        <f t="shared" si="0"/>
        <v>1.1074827887851472E-2</v>
      </c>
    </row>
    <row r="52" spans="1:19" x14ac:dyDescent="0.25">
      <c r="A52" s="4">
        <v>51</v>
      </c>
      <c r="B52" s="5">
        <v>4.1457622553970923</v>
      </c>
      <c r="C52" s="5">
        <v>251.50999450683591</v>
      </c>
      <c r="D52" s="5">
        <v>4.1459274291992188</v>
      </c>
      <c r="E52" s="5">
        <v>2.2418134904000911E-8</v>
      </c>
      <c r="F52" s="5">
        <v>1.4572064392268659E-2</v>
      </c>
      <c r="G52" s="5" t="b">
        <v>1</v>
      </c>
      <c r="H52" s="5">
        <v>150</v>
      </c>
      <c r="I52" s="5">
        <v>350</v>
      </c>
      <c r="J52" s="5">
        <v>0.56673741340637207</v>
      </c>
      <c r="K52" s="5">
        <v>0.32119128108024603</v>
      </c>
      <c r="L52" s="5">
        <v>8.1801499547500282E-4</v>
      </c>
      <c r="M52" s="5">
        <v>1.6360300360247491E-3</v>
      </c>
      <c r="N52" s="5">
        <v>1.6517380212643931E-4</v>
      </c>
      <c r="O52" s="5">
        <v>588.66450491450598</v>
      </c>
      <c r="P52" s="5">
        <v>100</v>
      </c>
      <c r="Q52" s="6">
        <v>480000</v>
      </c>
      <c r="R52" t="b">
        <v>0</v>
      </c>
      <c r="S52">
        <f t="shared" si="0"/>
        <v>3.9841600157223319E-3</v>
      </c>
    </row>
    <row r="53" spans="1:19" x14ac:dyDescent="0.25">
      <c r="A53" s="4">
        <v>52</v>
      </c>
      <c r="B53" s="5">
        <v>4.1148000406331944</v>
      </c>
      <c r="C53" s="5">
        <v>252.80000305175781</v>
      </c>
      <c r="D53" s="5">
        <v>4.1145315170288086</v>
      </c>
      <c r="E53" s="5">
        <v>3.7849531508982182E-8</v>
      </c>
      <c r="F53" s="5">
        <v>1.4434087090194231E-2</v>
      </c>
      <c r="G53" s="5" t="b">
        <v>1</v>
      </c>
      <c r="H53" s="5">
        <v>150</v>
      </c>
      <c r="I53" s="5">
        <v>350</v>
      </c>
      <c r="J53" s="5">
        <v>0.56644052267074585</v>
      </c>
      <c r="K53" s="5">
        <v>0.32085487246513372</v>
      </c>
      <c r="L53" s="5">
        <v>8.0106786943867333E-4</v>
      </c>
      <c r="M53" s="5">
        <v>1.602135715074837E-3</v>
      </c>
      <c r="N53" s="5">
        <v>2.6852360438578421E-4</v>
      </c>
      <c r="O53" s="5">
        <v>599.97253529058389</v>
      </c>
      <c r="P53" s="5">
        <v>100</v>
      </c>
      <c r="Q53" s="6">
        <v>500000</v>
      </c>
      <c r="R53" t="b">
        <v>0</v>
      </c>
      <c r="S53">
        <f t="shared" si="0"/>
        <v>6.5257995949777239E-3</v>
      </c>
    </row>
    <row r="54" spans="1:19" x14ac:dyDescent="0.25">
      <c r="A54" s="4">
        <v>53</v>
      </c>
      <c r="B54" s="5">
        <v>4.067011505252216</v>
      </c>
      <c r="C54" s="5">
        <v>255.1499938964844</v>
      </c>
      <c r="D54" s="5">
        <v>4.0666408538818359</v>
      </c>
      <c r="E54" s="5">
        <v>1.743356051520095E-6</v>
      </c>
      <c r="F54" s="5">
        <v>1.426623295992613E-2</v>
      </c>
      <c r="G54" s="5" t="b">
        <v>1</v>
      </c>
      <c r="H54" s="5">
        <v>150</v>
      </c>
      <c r="I54" s="5">
        <v>350</v>
      </c>
      <c r="J54" s="5">
        <v>0.56381362676620483</v>
      </c>
      <c r="K54" s="5">
        <v>0.31788578629493708</v>
      </c>
      <c r="L54" s="5">
        <v>1.1057294941963071E-3</v>
      </c>
      <c r="M54" s="5">
        <v>2.2114589810371399E-3</v>
      </c>
      <c r="N54" s="5">
        <v>3.7065137038005957E-4</v>
      </c>
      <c r="O54" s="5">
        <v>307.08697351592332</v>
      </c>
      <c r="P54" s="5">
        <v>100</v>
      </c>
      <c r="Q54" s="6">
        <v>260000</v>
      </c>
      <c r="R54" t="b">
        <v>0</v>
      </c>
      <c r="S54">
        <f t="shared" si="0"/>
        <v>9.1136051594984026E-3</v>
      </c>
    </row>
    <row r="55" spans="1:19" x14ac:dyDescent="0.25">
      <c r="A55" s="4">
        <v>54</v>
      </c>
      <c r="B55" s="5">
        <v>4.0029182471614666</v>
      </c>
      <c r="C55" s="5">
        <v>258.05999755859381</v>
      </c>
      <c r="D55" s="5">
        <v>4.0022702217102051</v>
      </c>
      <c r="E55" s="5">
        <v>3.8651542126899594E-6</v>
      </c>
      <c r="F55" s="5">
        <v>1.398136280477047E-2</v>
      </c>
      <c r="G55" s="5" t="b">
        <v>1</v>
      </c>
      <c r="H55" s="5">
        <v>150</v>
      </c>
      <c r="I55" s="5">
        <v>350</v>
      </c>
      <c r="J55" s="5">
        <v>0.56255006790161133</v>
      </c>
      <c r="K55" s="5">
        <v>0.31646260619163508</v>
      </c>
      <c r="L55" s="5">
        <v>1.1032514513858701E-3</v>
      </c>
      <c r="M55" s="5">
        <v>2.2065029479563241E-3</v>
      </c>
      <c r="N55" s="5">
        <v>6.4802545126241284E-4</v>
      </c>
      <c r="O55" s="5">
        <v>4.9957538585157222</v>
      </c>
      <c r="P55" s="5">
        <v>100</v>
      </c>
      <c r="Q55" s="6">
        <v>260000</v>
      </c>
      <c r="R55" t="b">
        <v>0</v>
      </c>
      <c r="S55">
        <f t="shared" si="0"/>
        <v>1.6188825533020517E-2</v>
      </c>
    </row>
    <row r="56" spans="1:19" x14ac:dyDescent="0.25">
      <c r="A56" s="4">
        <v>55</v>
      </c>
      <c r="B56" s="5">
        <v>3.9232247344705549</v>
      </c>
      <c r="C56" s="5">
        <v>262.20001220703119</v>
      </c>
      <c r="D56" s="5">
        <v>3.9232628345489502</v>
      </c>
      <c r="E56" s="5">
        <v>2.4686016786290569E-8</v>
      </c>
      <c r="F56" s="5">
        <v>1.3700198382139209E-2</v>
      </c>
      <c r="G56" s="5" t="b">
        <v>1</v>
      </c>
      <c r="H56" s="5">
        <v>150</v>
      </c>
      <c r="I56" s="5">
        <v>350</v>
      </c>
      <c r="J56" s="5">
        <v>0.56107932329177856</v>
      </c>
      <c r="K56" s="5">
        <v>0.31480997800827032</v>
      </c>
      <c r="L56" s="5">
        <v>1.060340253721754E-3</v>
      </c>
      <c r="M56" s="5">
        <v>2.120680408552289E-3</v>
      </c>
      <c r="N56" s="5">
        <v>3.8100078394887049E-5</v>
      </c>
      <c r="O56" s="5">
        <v>665.97250768075253</v>
      </c>
      <c r="P56" s="5">
        <v>100</v>
      </c>
      <c r="Q56" s="6">
        <v>280000</v>
      </c>
      <c r="R56" t="b">
        <v>0</v>
      </c>
      <c r="S56">
        <f t="shared" si="0"/>
        <v>9.7114187877459716E-4</v>
      </c>
    </row>
    <row r="57" spans="1:19" x14ac:dyDescent="0.25">
      <c r="A57" s="4">
        <v>56</v>
      </c>
      <c r="B57" s="5">
        <v>3.8288224192227061</v>
      </c>
      <c r="C57" s="5">
        <v>267.23001098632813</v>
      </c>
      <c r="D57" s="5">
        <v>3.827543973922729</v>
      </c>
      <c r="E57" s="5">
        <v>2.5768990781216421E-6</v>
      </c>
      <c r="F57" s="5">
        <v>1.326256711035967E-2</v>
      </c>
      <c r="G57" s="5" t="b">
        <v>1</v>
      </c>
      <c r="H57" s="5">
        <v>150</v>
      </c>
      <c r="I57" s="5">
        <v>350</v>
      </c>
      <c r="J57" s="5">
        <v>0.56022447347640991</v>
      </c>
      <c r="K57" s="5">
        <v>0.31385144591331482</v>
      </c>
      <c r="L57" s="5">
        <v>1.2527000053522809E-3</v>
      </c>
      <c r="M57" s="5">
        <v>2.5053999852389102E-3</v>
      </c>
      <c r="N57" s="5">
        <v>1.278445299976561E-3</v>
      </c>
      <c r="O57" s="5">
        <v>1065.9727016822189</v>
      </c>
      <c r="P57" s="5">
        <v>100</v>
      </c>
      <c r="Q57" s="6">
        <v>200000</v>
      </c>
      <c r="R57" t="b">
        <v>0</v>
      </c>
      <c r="S57">
        <f t="shared" si="0"/>
        <v>3.3390039025003926E-2</v>
      </c>
    </row>
    <row r="58" spans="1:19" x14ac:dyDescent="0.25">
      <c r="A58" s="4">
        <v>57</v>
      </c>
      <c r="B58" s="5">
        <v>3.72079126374026</v>
      </c>
      <c r="C58" s="5">
        <v>273.60000610351563</v>
      </c>
      <c r="D58" s="5">
        <v>3.7211899757385249</v>
      </c>
      <c r="E58" s="5">
        <v>1.0618171017995339E-6</v>
      </c>
      <c r="F58" s="5">
        <v>1.2790507636964319E-2</v>
      </c>
      <c r="G58" s="5" t="b">
        <v>1</v>
      </c>
      <c r="H58" s="5">
        <v>150</v>
      </c>
      <c r="I58" s="5">
        <v>350</v>
      </c>
      <c r="J58" s="5">
        <v>0.55959314107894897</v>
      </c>
      <c r="K58" s="5">
        <v>0.31314447522163391</v>
      </c>
      <c r="L58" s="5">
        <v>1.021672621313704E-3</v>
      </c>
      <c r="M58" s="5">
        <v>2.0433452446013689E-3</v>
      </c>
      <c r="N58" s="5">
        <v>3.9871199826491122E-4</v>
      </c>
      <c r="O58" s="5">
        <v>764.07229097612867</v>
      </c>
      <c r="P58" s="5">
        <v>100</v>
      </c>
      <c r="Q58" s="6">
        <v>300000</v>
      </c>
      <c r="R58" t="b">
        <v>0</v>
      </c>
      <c r="S58">
        <f t="shared" si="0"/>
        <v>1.0715785165118695E-2</v>
      </c>
    </row>
    <row r="59" spans="1:19" x14ac:dyDescent="0.25">
      <c r="A59" s="4">
        <v>58</v>
      </c>
      <c r="B59" s="5">
        <v>3.6003968225698841</v>
      </c>
      <c r="C59" s="5">
        <v>281.260009765625</v>
      </c>
      <c r="D59" s="5">
        <v>3.6008837223052979</v>
      </c>
      <c r="E59" s="5">
        <v>1.222234004671918E-6</v>
      </c>
      <c r="F59" s="5">
        <v>1.2174877338111401E-2</v>
      </c>
      <c r="G59" s="5" t="b">
        <v>1</v>
      </c>
      <c r="H59" s="5">
        <v>150</v>
      </c>
      <c r="I59" s="5">
        <v>350</v>
      </c>
      <c r="J59" s="5">
        <v>0.56012874841690063</v>
      </c>
      <c r="K59" s="5">
        <v>0.31374424695968628</v>
      </c>
      <c r="L59" s="5">
        <v>1.1941985041385469E-3</v>
      </c>
      <c r="M59" s="5">
        <v>2.388396998867393E-3</v>
      </c>
      <c r="N59" s="5">
        <v>4.8689973541371501E-4</v>
      </c>
      <c r="O59" s="5">
        <v>1264.9462831585199</v>
      </c>
      <c r="P59" s="5">
        <v>100</v>
      </c>
      <c r="Q59" s="6">
        <v>220000</v>
      </c>
      <c r="R59" t="b">
        <v>0</v>
      </c>
      <c r="S59">
        <f t="shared" si="0"/>
        <v>1.3523501975156635E-2</v>
      </c>
    </row>
    <row r="60" spans="1:19" x14ac:dyDescent="0.25">
      <c r="A60" s="4">
        <v>59</v>
      </c>
      <c r="B60" s="5">
        <v>3.469081214710001</v>
      </c>
      <c r="C60" s="5">
        <v>290.45001220703119</v>
      </c>
      <c r="D60" s="5">
        <v>3.469589471817017</v>
      </c>
      <c r="E60" s="5">
        <v>2.38835150412342E-6</v>
      </c>
      <c r="F60" s="5">
        <v>1.1456123553216461E-2</v>
      </c>
      <c r="G60" s="5" t="b">
        <v>1</v>
      </c>
      <c r="H60" s="5">
        <v>150</v>
      </c>
      <c r="I60" s="5">
        <v>350</v>
      </c>
      <c r="J60" s="5">
        <v>0.55808240175247192</v>
      </c>
      <c r="K60" s="5">
        <v>0.31145599484443659</v>
      </c>
      <c r="L60" s="5">
        <v>1.189835678390866E-3</v>
      </c>
      <c r="M60" s="5">
        <v>2.3796714376658201E-3</v>
      </c>
      <c r="N60" s="5">
        <v>5.0825710701607463E-4</v>
      </c>
      <c r="O60" s="5">
        <v>59.52709003722272</v>
      </c>
      <c r="P60" s="5">
        <v>100</v>
      </c>
      <c r="Q60" s="6">
        <v>220000</v>
      </c>
      <c r="R60" t="b">
        <v>0</v>
      </c>
      <c r="S60">
        <f t="shared" si="0"/>
        <v>1.4651058178197264E-2</v>
      </c>
    </row>
    <row r="61" spans="1:19" x14ac:dyDescent="0.25">
      <c r="A61" s="4">
        <v>60</v>
      </c>
      <c r="B61" s="5">
        <v>3.328446766773975</v>
      </c>
      <c r="C61" s="5">
        <v>301.29998779296881</v>
      </c>
      <c r="D61" s="5">
        <v>3.3281962871551509</v>
      </c>
      <c r="E61" s="5">
        <v>6.5479275690449867E-7</v>
      </c>
      <c r="F61" s="5">
        <v>9.5997462049126625E-3</v>
      </c>
      <c r="G61" s="5" t="b">
        <v>1</v>
      </c>
      <c r="H61" s="5">
        <v>250</v>
      </c>
      <c r="I61" s="5">
        <v>450</v>
      </c>
      <c r="J61" s="5">
        <v>0.55857229232788086</v>
      </c>
      <c r="K61" s="5">
        <v>0.31200301647186279</v>
      </c>
      <c r="L61" s="5">
        <v>9.5794357834039418E-4</v>
      </c>
      <c r="M61" s="5">
        <v>1.915887114591897E-3</v>
      </c>
      <c r="N61" s="5">
        <v>2.5047961882362912E-4</v>
      </c>
      <c r="O61" s="5">
        <v>2034.6127849799509</v>
      </c>
      <c r="P61" s="5">
        <v>100</v>
      </c>
      <c r="Q61" s="6">
        <v>340000</v>
      </c>
      <c r="R61" t="b">
        <v>0</v>
      </c>
      <c r="S61">
        <f t="shared" si="0"/>
        <v>7.5254206053113806E-3</v>
      </c>
    </row>
    <row r="62" spans="1:19" x14ac:dyDescent="0.25">
      <c r="A62" s="4">
        <v>61</v>
      </c>
      <c r="B62" s="5">
        <v>3.1802317779983489</v>
      </c>
      <c r="C62" s="5">
        <v>314.1099853515625</v>
      </c>
      <c r="D62" s="5">
        <v>3.1814558506011958</v>
      </c>
      <c r="E62" s="5">
        <v>5.7607671806181324E-6</v>
      </c>
      <c r="F62" s="5">
        <v>9.1216601431369781E-3</v>
      </c>
      <c r="G62" s="5" t="b">
        <v>1</v>
      </c>
      <c r="H62" s="5">
        <v>250</v>
      </c>
      <c r="I62" s="5">
        <v>450</v>
      </c>
      <c r="J62" s="5">
        <v>0.55801725387573242</v>
      </c>
      <c r="K62" s="5">
        <v>0.31138324737548828</v>
      </c>
      <c r="L62" s="5">
        <v>1.247764512283896E-3</v>
      </c>
      <c r="M62" s="5">
        <v>2.4955291301012039E-3</v>
      </c>
      <c r="N62" s="5">
        <v>1.2240726028469599E-3</v>
      </c>
      <c r="O62" s="5">
        <v>1.467108664723638</v>
      </c>
      <c r="P62" s="5">
        <v>100</v>
      </c>
      <c r="Q62" s="6">
        <v>200000</v>
      </c>
      <c r="R62" t="b">
        <v>0</v>
      </c>
      <c r="S62">
        <f t="shared" si="0"/>
        <v>3.849004375452774E-2</v>
      </c>
    </row>
    <row r="63" spans="1:19" x14ac:dyDescent="0.25">
      <c r="A63" s="4">
        <v>62</v>
      </c>
      <c r="B63" s="5">
        <v>3.0262786837990991</v>
      </c>
      <c r="C63" s="5">
        <v>328.85000610351563</v>
      </c>
      <c r="D63" s="5">
        <v>3.0265834331512451</v>
      </c>
      <c r="E63" s="5">
        <v>2.115143615810666E-10</v>
      </c>
      <c r="F63" s="5">
        <v>8.6211152374744415E-3</v>
      </c>
      <c r="G63" s="5" t="b">
        <v>1</v>
      </c>
      <c r="H63" s="5">
        <v>250</v>
      </c>
      <c r="I63" s="5">
        <v>450</v>
      </c>
      <c r="J63" s="5">
        <v>0.55909621715545654</v>
      </c>
      <c r="K63" s="5">
        <v>0.31258857250213617</v>
      </c>
      <c r="L63" s="5">
        <v>9.8835181621592465E-4</v>
      </c>
      <c r="M63" s="5">
        <v>1.9767035264521842E-3</v>
      </c>
      <c r="N63" s="5">
        <v>3.047493521459721E-4</v>
      </c>
      <c r="O63" s="5">
        <v>672.73357594753872</v>
      </c>
      <c r="P63" s="5">
        <v>100</v>
      </c>
      <c r="Q63" s="6">
        <v>320000</v>
      </c>
      <c r="R63" t="b">
        <v>0</v>
      </c>
      <c r="S63">
        <f t="shared" si="0"/>
        <v>1.0070102062226435E-2</v>
      </c>
    </row>
    <row r="64" spans="1:19" x14ac:dyDescent="0.25">
      <c r="A64" s="4">
        <v>63</v>
      </c>
      <c r="B64" s="5">
        <v>2.8684957729033602</v>
      </c>
      <c r="C64" s="5">
        <v>345.75</v>
      </c>
      <c r="D64" s="5">
        <v>2.8683044910430908</v>
      </c>
      <c r="E64" s="5">
        <v>3.3912883736775261E-6</v>
      </c>
      <c r="F64" s="5">
        <v>8.0162491649389267E-3</v>
      </c>
      <c r="G64" s="5" t="b">
        <v>1</v>
      </c>
      <c r="H64" s="5">
        <v>250</v>
      </c>
      <c r="I64" s="5">
        <v>450</v>
      </c>
      <c r="J64" s="5">
        <v>0.55621474981307983</v>
      </c>
      <c r="K64" s="5">
        <v>0.30937483906745911</v>
      </c>
      <c r="L64" s="5">
        <v>1.135368603709876E-3</v>
      </c>
      <c r="M64" s="5">
        <v>2.2707371972501278E-3</v>
      </c>
      <c r="N64" s="5">
        <v>1.912818602689548E-4</v>
      </c>
      <c r="O64" s="5">
        <v>243.15186816145689</v>
      </c>
      <c r="P64" s="5">
        <v>100</v>
      </c>
      <c r="Q64" s="6">
        <v>240000</v>
      </c>
      <c r="R64" t="b">
        <v>0</v>
      </c>
      <c r="S64">
        <f t="shared" si="0"/>
        <v>6.6683682115155438E-3</v>
      </c>
    </row>
    <row r="65" spans="1:19" x14ac:dyDescent="0.25">
      <c r="A65" s="4">
        <v>64</v>
      </c>
      <c r="B65" s="5">
        <v>2.708814420507546</v>
      </c>
      <c r="C65" s="5">
        <v>365.32000732421881</v>
      </c>
      <c r="D65" s="5">
        <v>2.7095685005187988</v>
      </c>
      <c r="E65" s="5">
        <v>9.4007418738328852E-8</v>
      </c>
      <c r="F65" s="5">
        <v>7.1941041387617588E-3</v>
      </c>
      <c r="G65" s="5" t="b">
        <v>1</v>
      </c>
      <c r="H65" s="5">
        <v>250</v>
      </c>
      <c r="I65" s="5">
        <v>450</v>
      </c>
      <c r="J65" s="5">
        <v>0.55195343494415283</v>
      </c>
      <c r="K65" s="5">
        <v>0.30465260148048401</v>
      </c>
      <c r="L65" s="5">
        <v>9.465923315747001E-4</v>
      </c>
      <c r="M65" s="5">
        <v>1.8931846134364601E-3</v>
      </c>
      <c r="N65" s="5">
        <v>7.5408001125243374E-4</v>
      </c>
      <c r="O65" s="5">
        <v>9.4344504375109732</v>
      </c>
      <c r="P65" s="5">
        <v>100</v>
      </c>
      <c r="Q65" s="6">
        <v>340000</v>
      </c>
      <c r="R65" t="b">
        <v>0</v>
      </c>
      <c r="S65">
        <f t="shared" si="0"/>
        <v>2.7838009335137213E-2</v>
      </c>
    </row>
    <row r="66" spans="1:19" x14ac:dyDescent="0.25">
      <c r="A66" s="4">
        <v>65</v>
      </c>
      <c r="B66" s="5">
        <v>2.5491444140341089</v>
      </c>
      <c r="C66" s="5">
        <v>387.45999145507813</v>
      </c>
      <c r="D66" s="5">
        <v>2.5488102436065669</v>
      </c>
      <c r="E66" s="5">
        <v>4.7607704800611828E-7</v>
      </c>
      <c r="F66" s="5">
        <v>6.418637465685606E-3</v>
      </c>
      <c r="G66" s="5" t="b">
        <v>1</v>
      </c>
      <c r="H66" s="5">
        <v>250</v>
      </c>
      <c r="I66" s="5">
        <v>450</v>
      </c>
      <c r="J66" s="5">
        <v>0.54821419715881348</v>
      </c>
      <c r="K66" s="5">
        <v>0.30053877830505371</v>
      </c>
      <c r="L66" s="5">
        <v>9.6911494088433982E-4</v>
      </c>
      <c r="M66" s="5">
        <v>1.9382298924028869E-3</v>
      </c>
      <c r="N66" s="5">
        <v>3.3417042754191328E-4</v>
      </c>
      <c r="O66" s="5">
        <v>3034.0610797066929</v>
      </c>
      <c r="P66" s="5">
        <v>100</v>
      </c>
      <c r="Q66" s="6">
        <v>320000</v>
      </c>
      <c r="R66" t="b">
        <v>0</v>
      </c>
      <c r="S66">
        <f t="shared" si="0"/>
        <v>1.3109121072237608E-2</v>
      </c>
    </row>
    <row r="67" spans="1:19" x14ac:dyDescent="0.25">
      <c r="A67" s="4">
        <v>66</v>
      </c>
      <c r="B67" s="5">
        <v>2.3913302718645761</v>
      </c>
      <c r="C67" s="5">
        <v>412.23001098632813</v>
      </c>
      <c r="D67" s="5">
        <v>2.3920819759368901</v>
      </c>
      <c r="E67" s="5">
        <v>1.1644190180959411E-6</v>
      </c>
      <c r="F67" s="5">
        <v>5.5512646213173866E-3</v>
      </c>
      <c r="G67" s="5" t="b">
        <v>1</v>
      </c>
      <c r="H67" s="5">
        <v>350</v>
      </c>
      <c r="I67" s="5">
        <v>550</v>
      </c>
      <c r="J67" s="5">
        <v>0.5442470908164978</v>
      </c>
      <c r="K67" s="5">
        <v>0.29620492458343511</v>
      </c>
      <c r="L67" s="5">
        <v>1.216973491622191E-3</v>
      </c>
      <c r="M67" s="5">
        <v>2.433947054669261E-3</v>
      </c>
      <c r="N67" s="5">
        <v>7.5170407231395231E-4</v>
      </c>
      <c r="O67" s="5">
        <v>3.9611947633833799</v>
      </c>
      <c r="P67" s="5">
        <v>100</v>
      </c>
      <c r="Q67" s="6">
        <v>200000</v>
      </c>
      <c r="R67" t="b">
        <v>0</v>
      </c>
      <c r="S67">
        <f t="shared" ref="S67:S102" si="2">(N67/B67)*100</f>
        <v>3.1434556788671061E-2</v>
      </c>
    </row>
    <row r="68" spans="1:19" x14ac:dyDescent="0.25">
      <c r="A68" s="4">
        <v>67</v>
      </c>
      <c r="B68" s="5">
        <v>2.237111438067684</v>
      </c>
      <c r="C68" s="5">
        <v>439.60000610351563</v>
      </c>
      <c r="D68" s="5">
        <v>2.2379336357116699</v>
      </c>
      <c r="E68" s="5">
        <v>4.2837898945435882E-5</v>
      </c>
      <c r="F68" s="5">
        <v>4.971642978489399E-3</v>
      </c>
      <c r="G68" s="5" t="b">
        <v>1</v>
      </c>
      <c r="H68" s="5">
        <v>350</v>
      </c>
      <c r="I68" s="5">
        <v>550</v>
      </c>
      <c r="J68" s="5">
        <v>0.54126918315887451</v>
      </c>
      <c r="K68" s="5">
        <v>0.29297235608100891</v>
      </c>
      <c r="L68" s="5">
        <v>1.2103146876690279E-3</v>
      </c>
      <c r="M68" s="5">
        <v>2.4206293746829029E-3</v>
      </c>
      <c r="N68" s="5">
        <v>8.2219764398594464E-4</v>
      </c>
      <c r="O68" s="5">
        <v>10114.400379717819</v>
      </c>
      <c r="P68" s="5">
        <v>100</v>
      </c>
      <c r="Q68" s="6">
        <v>200000</v>
      </c>
      <c r="R68" t="b">
        <v>0</v>
      </c>
      <c r="S68">
        <f t="shared" si="2"/>
        <v>3.6752645844773918E-2</v>
      </c>
    </row>
    <row r="69" spans="1:19" x14ac:dyDescent="0.25">
      <c r="A69" s="4">
        <v>68</v>
      </c>
      <c r="B69" s="5">
        <v>2.0880888840362379</v>
      </c>
      <c r="C69" s="5">
        <v>470.20999145507813</v>
      </c>
      <c r="D69" s="5">
        <v>2.0883610248565669</v>
      </c>
      <c r="E69" s="5">
        <v>2.4536404907848919E-6</v>
      </c>
      <c r="F69" s="5">
        <v>4.4020856730639926E-3</v>
      </c>
      <c r="G69" s="5" t="b">
        <v>1</v>
      </c>
      <c r="H69" s="5">
        <v>350</v>
      </c>
      <c r="I69" s="5">
        <v>550</v>
      </c>
      <c r="J69" s="5">
        <v>0.53947025537490845</v>
      </c>
      <c r="K69" s="5">
        <v>0.29102817177772522</v>
      </c>
      <c r="L69" s="5">
        <v>1.1501544489847461E-3</v>
      </c>
      <c r="M69" s="5">
        <v>2.3003090173006062E-3</v>
      </c>
      <c r="N69" s="5">
        <v>2.7214082032944731E-4</v>
      </c>
      <c r="O69" s="5">
        <v>2418.935564078341</v>
      </c>
      <c r="P69" s="5">
        <v>100</v>
      </c>
      <c r="Q69" s="6">
        <v>220000</v>
      </c>
      <c r="R69" t="b">
        <v>1</v>
      </c>
      <c r="S69">
        <f t="shared" si="2"/>
        <v>1.3033009390069834E-2</v>
      </c>
    </row>
    <row r="70" spans="1:19" x14ac:dyDescent="0.25">
      <c r="A70" s="4">
        <v>69</v>
      </c>
      <c r="B70" s="5">
        <v>1.9457000227727641</v>
      </c>
      <c r="C70" s="5">
        <v>503.95999145507813</v>
      </c>
      <c r="D70" s="5">
        <v>1.9455780982971189</v>
      </c>
      <c r="E70" s="5">
        <v>1.688408701738808E-5</v>
      </c>
      <c r="F70" s="5">
        <v>3.7427872885018591E-3</v>
      </c>
      <c r="G70" s="5" t="b">
        <v>1</v>
      </c>
      <c r="H70" s="5">
        <v>450</v>
      </c>
      <c r="I70" s="5">
        <v>650</v>
      </c>
      <c r="J70" s="5">
        <v>0.53915929794311523</v>
      </c>
      <c r="K70" s="5">
        <v>0.29069274663925171</v>
      </c>
      <c r="L70" s="5">
        <v>1.2055968409018681E-3</v>
      </c>
      <c r="M70" s="5">
        <v>2.411193680018187E-3</v>
      </c>
      <c r="N70" s="5">
        <v>1.2192447564451919E-4</v>
      </c>
      <c r="O70" s="5">
        <v>17846.362778315081</v>
      </c>
      <c r="P70" s="5">
        <v>100</v>
      </c>
      <c r="Q70" s="6">
        <v>200000</v>
      </c>
      <c r="R70" t="b">
        <v>1</v>
      </c>
      <c r="S70">
        <f t="shared" si="2"/>
        <v>6.2663552560773446E-3</v>
      </c>
    </row>
    <row r="71" spans="1:19" x14ac:dyDescent="0.25">
      <c r="A71">
        <v>70</v>
      </c>
      <c r="B71">
        <v>1.8112030457153261</v>
      </c>
      <c r="C71" s="14">
        <v>540.6864013671875</v>
      </c>
      <c r="D71">
        <v>1.8118607997894289</v>
      </c>
      <c r="E71">
        <f t="shared" ref="E69:E102" si="3">(B71-D71)^2</f>
        <v>4.3264042199889138E-7</v>
      </c>
      <c r="F71">
        <v>3.368385368958116E-3</v>
      </c>
      <c r="G71" t="b">
        <v>1</v>
      </c>
      <c r="H71">
        <v>487.5</v>
      </c>
      <c r="I71">
        <v>562.5</v>
      </c>
      <c r="J71">
        <v>0.53773772716522217</v>
      </c>
      <c r="K71">
        <v>0.28916186094284058</v>
      </c>
      <c r="L71">
        <v>3.8023799337837008E-3</v>
      </c>
      <c r="M71">
        <v>7.6047596521675587E-3</v>
      </c>
      <c r="N71">
        <v>6.5775407410240128E-4</v>
      </c>
      <c r="O71">
        <v>3569.3414662619512</v>
      </c>
      <c r="P71">
        <v>70</v>
      </c>
      <c r="Q71">
        <v>20000</v>
      </c>
      <c r="R71" t="b">
        <v>1</v>
      </c>
      <c r="S71">
        <f t="shared" si="2"/>
        <v>3.6315866167430412E-2</v>
      </c>
    </row>
    <row r="72" spans="1:19" x14ac:dyDescent="0.25">
      <c r="A72">
        <v>71</v>
      </c>
      <c r="B72">
        <v>1.685670945847273</v>
      </c>
      <c r="C72" s="14">
        <v>580.4493408203125</v>
      </c>
      <c r="D72">
        <v>1.6866112947463989</v>
      </c>
      <c r="E72">
        <f t="shared" si="3"/>
        <v>8.8425605208743432E-7</v>
      </c>
      <c r="F72">
        <v>2.8544520027935501E-3</v>
      </c>
      <c r="G72" t="b">
        <v>1</v>
      </c>
      <c r="H72">
        <v>537.5</v>
      </c>
      <c r="I72">
        <v>612.5</v>
      </c>
      <c r="J72">
        <v>0.53801071643829346</v>
      </c>
      <c r="K72">
        <v>0.28945553302764893</v>
      </c>
      <c r="L72">
        <v>3.8043102594454998E-3</v>
      </c>
      <c r="M72">
        <v>7.6086204499006271E-3</v>
      </c>
      <c r="N72">
        <v>9.4034889912597563E-4</v>
      </c>
      <c r="O72">
        <v>4862.6812418954169</v>
      </c>
      <c r="P72">
        <v>70</v>
      </c>
      <c r="Q72">
        <v>20000</v>
      </c>
      <c r="R72" t="b">
        <v>1</v>
      </c>
      <c r="S72">
        <f t="shared" si="2"/>
        <v>5.5784843503565627E-2</v>
      </c>
    </row>
    <row r="73" spans="1:19" x14ac:dyDescent="0.25">
      <c r="A73">
        <v>72</v>
      </c>
      <c r="B73">
        <v>1.569994708318921</v>
      </c>
      <c r="C73" s="14">
        <v>622.60028076171875</v>
      </c>
      <c r="D73">
        <v>1.5696079730987551</v>
      </c>
      <c r="E73">
        <f t="shared" si="3"/>
        <v>1.4956413051673382E-7</v>
      </c>
      <c r="F73">
        <v>2.5045967195183039E-3</v>
      </c>
      <c r="G73" t="b">
        <v>1</v>
      </c>
      <c r="H73">
        <v>587.5</v>
      </c>
      <c r="I73">
        <v>662.5</v>
      </c>
      <c r="J73">
        <v>0.53850656747817993</v>
      </c>
      <c r="K73">
        <v>0.28998932242393488</v>
      </c>
      <c r="L73">
        <v>3.807816455773121E-3</v>
      </c>
      <c r="M73">
        <v>7.6156328432261944E-3</v>
      </c>
      <c r="N73">
        <v>3.8673522016585688E-4</v>
      </c>
      <c r="O73">
        <v>6388.6627760408774</v>
      </c>
      <c r="P73">
        <v>70</v>
      </c>
      <c r="Q73">
        <v>20000</v>
      </c>
      <c r="R73" t="b">
        <v>1</v>
      </c>
      <c r="S73">
        <f t="shared" si="2"/>
        <v>2.4632899596200256E-2</v>
      </c>
    </row>
    <row r="74" spans="1:19" x14ac:dyDescent="0.25">
      <c r="A74">
        <v>73</v>
      </c>
      <c r="B74">
        <v>1.464894518558977</v>
      </c>
      <c r="C74" s="14">
        <v>666.988525390625</v>
      </c>
      <c r="D74">
        <v>1.467909097671509</v>
      </c>
      <c r="E74">
        <f t="shared" si="3"/>
        <v>9.0876872257142266E-6</v>
      </c>
      <c r="F74">
        <v>2.236041240394115E-3</v>
      </c>
      <c r="G74" t="b">
        <v>1</v>
      </c>
      <c r="H74">
        <v>637.5</v>
      </c>
      <c r="I74">
        <v>712.5</v>
      </c>
      <c r="J74">
        <v>0.54003262519836426</v>
      </c>
      <c r="K74">
        <v>0.29163524508476257</v>
      </c>
      <c r="L74">
        <v>3.8186073133973661E-3</v>
      </c>
      <c r="M74">
        <v>7.6372148469090462E-3</v>
      </c>
      <c r="N74">
        <v>3.0145791125317789E-3</v>
      </c>
      <c r="O74">
        <v>8219.6179559373759</v>
      </c>
      <c r="P74">
        <v>70</v>
      </c>
      <c r="Q74">
        <v>20000</v>
      </c>
      <c r="R74" t="b">
        <v>1</v>
      </c>
      <c r="S74">
        <f t="shared" si="2"/>
        <v>0.20578813520971007</v>
      </c>
    </row>
    <row r="75" spans="1:19" x14ac:dyDescent="0.25">
      <c r="A75">
        <v>74</v>
      </c>
      <c r="B75">
        <v>1.3709374080230179</v>
      </c>
      <c r="C75" s="14">
        <v>713.0126953125</v>
      </c>
      <c r="D75">
        <v>1.370973587036133</v>
      </c>
      <c r="E75">
        <f t="shared" si="3"/>
        <v>1.308920989985845E-9</v>
      </c>
      <c r="F75">
        <v>1.9356720149517059E-3</v>
      </c>
      <c r="G75" t="b">
        <v>1</v>
      </c>
      <c r="H75">
        <v>687.5</v>
      </c>
      <c r="I75">
        <v>762.5</v>
      </c>
      <c r="J75">
        <v>0.542091965675354</v>
      </c>
      <c r="K75">
        <v>0.2938636839389801</v>
      </c>
      <c r="L75">
        <v>3.8331690495578791E-3</v>
      </c>
      <c r="M75">
        <v>7.6663382351398468E-3</v>
      </c>
      <c r="N75">
        <v>3.6179013114923109E-5</v>
      </c>
      <c r="O75">
        <v>10841.19420037183</v>
      </c>
      <c r="P75">
        <v>70</v>
      </c>
      <c r="Q75">
        <v>20000</v>
      </c>
      <c r="R75" t="b">
        <v>1</v>
      </c>
      <c r="S75">
        <f t="shared" si="2"/>
        <v>2.638998170390261E-3</v>
      </c>
    </row>
    <row r="76" spans="1:19" x14ac:dyDescent="0.25">
      <c r="A76">
        <v>75</v>
      </c>
      <c r="B76">
        <v>1.2885595404939401</v>
      </c>
      <c r="C76" s="14">
        <v>757.803466796875</v>
      </c>
      <c r="D76">
        <v>1.28432309627533</v>
      </c>
      <c r="E76">
        <f t="shared" si="3"/>
        <v>1.7947459617394304E-5</v>
      </c>
      <c r="F76">
        <v>1.793277799151838E-3</v>
      </c>
      <c r="G76" t="b">
        <v>0</v>
      </c>
      <c r="H76">
        <v>737.5</v>
      </c>
      <c r="I76">
        <v>812.5</v>
      </c>
      <c r="J76">
        <v>0.5430106520652771</v>
      </c>
      <c r="K76">
        <v>0.29486054182052612</v>
      </c>
      <c r="L76">
        <v>3.8396651433188641E-3</v>
      </c>
      <c r="M76">
        <v>7.6793301850557327E-3</v>
      </c>
      <c r="N76">
        <v>4.2364442186102469E-3</v>
      </c>
      <c r="O76">
        <v>47.641607365220523</v>
      </c>
      <c r="P76">
        <v>70</v>
      </c>
      <c r="Q76">
        <v>20000</v>
      </c>
      <c r="R76" t="b">
        <v>1</v>
      </c>
      <c r="S76">
        <f t="shared" si="2"/>
        <v>0.32877364882854404</v>
      </c>
    </row>
    <row r="77" spans="1:19" x14ac:dyDescent="0.25">
      <c r="A77">
        <v>76</v>
      </c>
      <c r="B77">
        <v>1.218091315853705</v>
      </c>
      <c r="C77" s="14">
        <v>803.16265869140625</v>
      </c>
      <c r="D77">
        <v>1.217975258827209</v>
      </c>
      <c r="E77">
        <f t="shared" si="3"/>
        <v>1.3469233399087403E-8</v>
      </c>
      <c r="F77">
        <v>1.475372700951993E-3</v>
      </c>
      <c r="G77" t="b">
        <v>1</v>
      </c>
      <c r="H77">
        <v>793.75</v>
      </c>
      <c r="I77">
        <v>831.25</v>
      </c>
      <c r="J77">
        <v>0.5391804575920105</v>
      </c>
      <c r="K77">
        <v>0.29071557521820068</v>
      </c>
      <c r="L77">
        <v>3.8125815784657629E-3</v>
      </c>
      <c r="M77">
        <v>7.6251630671322346E-3</v>
      </c>
      <c r="N77">
        <v>1.160570264953087E-4</v>
      </c>
      <c r="O77">
        <v>18017.00968122956</v>
      </c>
      <c r="P77">
        <v>70</v>
      </c>
      <c r="Q77">
        <v>20000</v>
      </c>
      <c r="R77" t="b">
        <v>1</v>
      </c>
      <c r="S77">
        <f t="shared" si="2"/>
        <v>9.5277771858975607E-3</v>
      </c>
    </row>
    <row r="78" spans="1:19" x14ac:dyDescent="0.25">
      <c r="A78">
        <v>77</v>
      </c>
      <c r="B78">
        <v>1.159783590634661</v>
      </c>
      <c r="C78" s="14">
        <v>843.139892578125</v>
      </c>
      <c r="D78">
        <v>1.1640465259552</v>
      </c>
      <c r="E78">
        <f t="shared" si="3"/>
        <v>1.817261754709901E-5</v>
      </c>
      <c r="F78">
        <v>1.4033177867531781E-3</v>
      </c>
      <c r="G78" t="b">
        <v>1</v>
      </c>
      <c r="H78">
        <v>818.75</v>
      </c>
      <c r="I78">
        <v>856.25</v>
      </c>
      <c r="J78">
        <v>0.54476481676101685</v>
      </c>
      <c r="K78">
        <v>0.29676872491836548</v>
      </c>
      <c r="L78">
        <v>3.85206896083562E-3</v>
      </c>
      <c r="M78">
        <v>7.7041378244757652E-3</v>
      </c>
      <c r="N78">
        <v>4.2629353205390075E-3</v>
      </c>
      <c r="O78">
        <v>20894.60665468204</v>
      </c>
      <c r="P78">
        <v>70</v>
      </c>
      <c r="Q78">
        <v>20000</v>
      </c>
      <c r="R78" t="b">
        <v>1</v>
      </c>
      <c r="S78">
        <f t="shared" si="2"/>
        <v>0.36756299666269882</v>
      </c>
    </row>
    <row r="79" spans="1:19" x14ac:dyDescent="0.25">
      <c r="A79">
        <v>78</v>
      </c>
      <c r="B79">
        <v>1.113833533176569</v>
      </c>
      <c r="C79" s="14">
        <v>878.2418212890625</v>
      </c>
      <c r="D79">
        <v>1.112043499946594</v>
      </c>
      <c r="E79">
        <f t="shared" si="3"/>
        <v>3.2042189644145599E-6</v>
      </c>
      <c r="F79">
        <v>1.2902793241664769E-3</v>
      </c>
      <c r="G79" t="b">
        <v>1</v>
      </c>
      <c r="H79">
        <v>868.75</v>
      </c>
      <c r="I79">
        <v>906.25</v>
      </c>
      <c r="J79">
        <v>0.54646950960159302</v>
      </c>
      <c r="K79">
        <v>0.29862892627716059</v>
      </c>
      <c r="L79">
        <v>3.8641229595097349E-3</v>
      </c>
      <c r="M79">
        <v>7.7282460406422624E-3</v>
      </c>
      <c r="N79">
        <v>1.790033229975174E-3</v>
      </c>
      <c r="O79">
        <v>19711.05278115426</v>
      </c>
      <c r="P79">
        <v>80</v>
      </c>
      <c r="Q79">
        <v>20000</v>
      </c>
      <c r="R79" t="b">
        <v>1</v>
      </c>
      <c r="S79">
        <f t="shared" si="2"/>
        <v>0.16070922419350533</v>
      </c>
    </row>
    <row r="80" spans="1:19" x14ac:dyDescent="0.25">
      <c r="A80">
        <v>79</v>
      </c>
      <c r="B80">
        <v>1.0804088945786661</v>
      </c>
      <c r="C80" s="14">
        <v>905.79388427734375</v>
      </c>
      <c r="D80">
        <v>1.079329252243042</v>
      </c>
      <c r="E80">
        <f t="shared" si="3"/>
        <v>1.1656275728718097E-6</v>
      </c>
      <c r="F80">
        <v>1.1961624259129171E-3</v>
      </c>
      <c r="G80" t="b">
        <v>1</v>
      </c>
      <c r="H80">
        <v>893.75</v>
      </c>
      <c r="I80">
        <v>931.25</v>
      </c>
      <c r="J80">
        <v>0.54633551836013794</v>
      </c>
      <c r="K80">
        <v>0.29848247766494751</v>
      </c>
      <c r="L80">
        <v>3.8631754983552112E-3</v>
      </c>
      <c r="M80">
        <v>7.726350799202919E-3</v>
      </c>
      <c r="N80">
        <v>2.7448769013589391E-3</v>
      </c>
      <c r="O80">
        <v>669.90731859745927</v>
      </c>
      <c r="P80">
        <v>70</v>
      </c>
      <c r="Q80">
        <v>20000</v>
      </c>
      <c r="R80" t="b">
        <v>1</v>
      </c>
      <c r="S80">
        <f t="shared" si="2"/>
        <v>0.25405908032896901</v>
      </c>
    </row>
    <row r="81" spans="1:19" x14ac:dyDescent="0.25">
      <c r="A81">
        <v>80</v>
      </c>
      <c r="B81">
        <v>1.059669741704262</v>
      </c>
      <c r="C81" s="14">
        <v>924.84893798828125</v>
      </c>
      <c r="D81">
        <v>1.0567318201065059</v>
      </c>
      <c r="E81">
        <f t="shared" si="3"/>
        <v>8.6313833145616196E-6</v>
      </c>
      <c r="F81">
        <v>1.0263194562867279E-3</v>
      </c>
      <c r="G81" t="b">
        <v>1</v>
      </c>
      <c r="H81">
        <v>918.75</v>
      </c>
      <c r="I81">
        <v>956.25</v>
      </c>
      <c r="J81">
        <v>0.54913276433944702</v>
      </c>
      <c r="K81">
        <v>0.30154681205749512</v>
      </c>
      <c r="L81">
        <v>3.8829550143613732E-3</v>
      </c>
      <c r="M81">
        <v>7.7659101225435734E-3</v>
      </c>
      <c r="N81">
        <v>2.9379215977560769E-3</v>
      </c>
      <c r="O81">
        <v>34223.192511983551</v>
      </c>
      <c r="P81">
        <v>70</v>
      </c>
      <c r="Q81">
        <v>20000</v>
      </c>
      <c r="R81" t="b">
        <v>1</v>
      </c>
      <c r="S81">
        <f t="shared" si="2"/>
        <v>0.2772487957456472</v>
      </c>
    </row>
    <row r="82" spans="1:19" x14ac:dyDescent="0.25">
      <c r="A82">
        <v>81</v>
      </c>
      <c r="B82">
        <v>1.051786933968325</v>
      </c>
      <c r="C82" s="14">
        <v>930.06939697265625</v>
      </c>
      <c r="D82">
        <v>1.050126314163208</v>
      </c>
      <c r="E82">
        <f t="shared" si="3"/>
        <v>2.7576581371468327E-6</v>
      </c>
      <c r="F82">
        <v>1.12149165943265E-3</v>
      </c>
      <c r="G82" t="b">
        <v>1</v>
      </c>
      <c r="H82">
        <v>918.75</v>
      </c>
      <c r="I82">
        <v>956.25</v>
      </c>
      <c r="J82">
        <v>0.54532283544540405</v>
      </c>
      <c r="K82">
        <v>0.29737699031829828</v>
      </c>
      <c r="L82">
        <v>3.8560147487932098E-3</v>
      </c>
      <c r="M82">
        <v>7.7120293863117686E-3</v>
      </c>
      <c r="N82">
        <v>1.660619805117225E-3</v>
      </c>
      <c r="O82">
        <v>39737.685786778638</v>
      </c>
      <c r="P82">
        <v>60</v>
      </c>
      <c r="Q82">
        <v>20000</v>
      </c>
      <c r="R82" t="b">
        <v>1</v>
      </c>
      <c r="S82">
        <f t="shared" si="2"/>
        <v>0.1578855708781067</v>
      </c>
    </row>
    <row r="83" spans="1:19" x14ac:dyDescent="0.25">
      <c r="A83">
        <v>82</v>
      </c>
      <c r="B83">
        <v>1.056956812851094</v>
      </c>
      <c r="C83" s="14">
        <v>925.05218505859375</v>
      </c>
      <c r="D83">
        <v>1.057095050811768</v>
      </c>
      <c r="E83">
        <f t="shared" si="3"/>
        <v>1.910973377131351E-8</v>
      </c>
      <c r="F83">
        <v>1.2383922003209591E-3</v>
      </c>
      <c r="G83" t="b">
        <v>1</v>
      </c>
      <c r="H83">
        <v>918.75</v>
      </c>
      <c r="I83">
        <v>956.25</v>
      </c>
      <c r="J83">
        <v>0.54484963417053223</v>
      </c>
      <c r="K83">
        <v>0.29686114192008972</v>
      </c>
      <c r="L83">
        <v>3.85266871048993E-3</v>
      </c>
      <c r="M83">
        <v>7.70533736795187E-3</v>
      </c>
      <c r="N83">
        <v>1.3823796067335969E-4</v>
      </c>
      <c r="O83">
        <v>35635.38615767243</v>
      </c>
      <c r="P83">
        <v>60</v>
      </c>
      <c r="Q83">
        <v>20000</v>
      </c>
      <c r="R83" t="b">
        <v>1</v>
      </c>
      <c r="S83">
        <f t="shared" si="2"/>
        <v>1.3078865568827636E-2</v>
      </c>
    </row>
    <row r="84" spans="1:19" x14ac:dyDescent="0.25">
      <c r="A84">
        <v>83</v>
      </c>
      <c r="B84">
        <v>1.0754117048643399</v>
      </c>
      <c r="C84" s="14">
        <v>910.02313232421875</v>
      </c>
      <c r="D84">
        <v>1.0754169225692749</v>
      </c>
      <c r="E84">
        <f t="shared" si="3"/>
        <v>2.722444478873448E-11</v>
      </c>
      <c r="F84">
        <v>1.40053400807828E-3</v>
      </c>
      <c r="G84" t="b">
        <v>0</v>
      </c>
      <c r="H84">
        <v>893.75</v>
      </c>
      <c r="I84">
        <v>931.25</v>
      </c>
      <c r="J84">
        <v>0.54520237445831299</v>
      </c>
      <c r="K84">
        <v>0.29724565148353582</v>
      </c>
      <c r="L84">
        <v>3.855162960984804E-3</v>
      </c>
      <c r="M84">
        <v>7.7103259973227978E-3</v>
      </c>
      <c r="N84">
        <v>5.2177049350010662E-6</v>
      </c>
      <c r="O84">
        <v>133.63101162962889</v>
      </c>
      <c r="P84">
        <v>70</v>
      </c>
      <c r="Q84">
        <v>20000</v>
      </c>
      <c r="R84" t="b">
        <v>1</v>
      </c>
      <c r="S84">
        <f t="shared" si="2"/>
        <v>4.8518208527954083E-4</v>
      </c>
    </row>
    <row r="85" spans="1:19" x14ac:dyDescent="0.25">
      <c r="A85">
        <v>84</v>
      </c>
      <c r="B85">
        <v>1.107425917291978</v>
      </c>
      <c r="C85" s="14">
        <v>883.05816650390625</v>
      </c>
      <c r="D85">
        <v>1.109120845794678</v>
      </c>
      <c r="E85">
        <f t="shared" si="3"/>
        <v>2.8727826292645985E-6</v>
      </c>
      <c r="F85">
        <v>1.340210204944015E-3</v>
      </c>
      <c r="G85" t="b">
        <v>1</v>
      </c>
      <c r="H85">
        <v>868.75</v>
      </c>
      <c r="I85">
        <v>906.25</v>
      </c>
      <c r="J85">
        <v>0.54369378089904785</v>
      </c>
      <c r="K85">
        <v>0.295602947473526</v>
      </c>
      <c r="L85">
        <v>3.8444955936266971E-3</v>
      </c>
      <c r="M85">
        <v>7.6889912597835064E-3</v>
      </c>
      <c r="N85">
        <v>1.6949285026999217E-3</v>
      </c>
      <c r="O85">
        <v>29995.207830151801</v>
      </c>
      <c r="P85">
        <v>60</v>
      </c>
      <c r="Q85">
        <v>20000</v>
      </c>
      <c r="R85" t="b">
        <v>1</v>
      </c>
      <c r="S85">
        <f t="shared" si="2"/>
        <v>0.15305118619984814</v>
      </c>
    </row>
    <row r="86" spans="1:19" x14ac:dyDescent="0.25">
      <c r="A86">
        <v>85</v>
      </c>
      <c r="B86">
        <v>1.153316940821536</v>
      </c>
      <c r="C86" s="14">
        <v>848.11285400390625</v>
      </c>
      <c r="D86">
        <v>1.1526093482971189</v>
      </c>
      <c r="E86">
        <f t="shared" si="3"/>
        <v>5.0068718061096424E-7</v>
      </c>
      <c r="F86">
        <v>1.31747021805495E-3</v>
      </c>
      <c r="G86" t="b">
        <v>1</v>
      </c>
      <c r="H86">
        <v>818.75</v>
      </c>
      <c r="I86">
        <v>856.25</v>
      </c>
      <c r="J86">
        <v>0.54546272754669189</v>
      </c>
      <c r="K86">
        <v>0.29752957820892328</v>
      </c>
      <c r="L86">
        <v>3.85700393532776E-3</v>
      </c>
      <c r="M86">
        <v>7.7140079811215401E-3</v>
      </c>
      <c r="N86">
        <v>7.0759252441709997E-4</v>
      </c>
      <c r="O86">
        <v>22506.398279807439</v>
      </c>
      <c r="P86">
        <v>70</v>
      </c>
      <c r="Q86">
        <v>20000</v>
      </c>
      <c r="R86" t="b">
        <v>1</v>
      </c>
      <c r="S86">
        <f t="shared" si="2"/>
        <v>6.1352825001691591E-2</v>
      </c>
    </row>
    <row r="87" spans="1:19" x14ac:dyDescent="0.25">
      <c r="A87">
        <v>86</v>
      </c>
      <c r="B87">
        <v>1.2134415787506809</v>
      </c>
      <c r="C87" s="14">
        <v>805.17840576171875</v>
      </c>
      <c r="D87">
        <v>1.2129890918731689</v>
      </c>
      <c r="E87">
        <f t="shared" si="3"/>
        <v>2.0474437432054313E-7</v>
      </c>
      <c r="F87">
        <v>1.515534124337137E-3</v>
      </c>
      <c r="G87" t="b">
        <v>1</v>
      </c>
      <c r="H87">
        <v>787.5</v>
      </c>
      <c r="I87">
        <v>862.5</v>
      </c>
      <c r="J87">
        <v>0.5471457839012146</v>
      </c>
      <c r="K87">
        <v>0.29936850070953369</v>
      </c>
      <c r="L87">
        <v>3.8689049409417809E-3</v>
      </c>
      <c r="M87">
        <v>7.7378097921609879E-3</v>
      </c>
      <c r="N87">
        <v>2.3888665389311114E-3</v>
      </c>
      <c r="O87">
        <v>17674.23746215256</v>
      </c>
      <c r="P87">
        <v>70</v>
      </c>
      <c r="Q87">
        <v>20000</v>
      </c>
      <c r="R87" t="b">
        <v>1</v>
      </c>
      <c r="S87">
        <f t="shared" si="2"/>
        <v>0.19686704170715899</v>
      </c>
    </row>
    <row r="88" spans="1:19" x14ac:dyDescent="0.25">
      <c r="A88">
        <v>87</v>
      </c>
      <c r="B88">
        <v>1.288186717062378</v>
      </c>
      <c r="C88" s="14">
        <v>759.5911865234375</v>
      </c>
      <c r="D88">
        <v>1.28356409072876</v>
      </c>
      <c r="E88">
        <f t="shared" si="3"/>
        <v>2.1368674220258456E-5</v>
      </c>
      <c r="F88">
        <v>1.6302834264934061E-3</v>
      </c>
      <c r="G88" t="b">
        <v>1</v>
      </c>
      <c r="H88">
        <v>743.75</v>
      </c>
      <c r="I88">
        <v>781.25</v>
      </c>
      <c r="J88">
        <v>0.54227781295776367</v>
      </c>
      <c r="K88">
        <v>0.2940652072429657</v>
      </c>
      <c r="L88">
        <v>3.8344831882944491E-3</v>
      </c>
      <c r="M88">
        <v>7.6689664274454117E-3</v>
      </c>
      <c r="N88">
        <v>4.6226263336184292E-3</v>
      </c>
      <c r="O88">
        <v>14578.854524978389</v>
      </c>
      <c r="P88">
        <v>70</v>
      </c>
      <c r="Q88">
        <v>20000</v>
      </c>
      <c r="R88" t="b">
        <v>1</v>
      </c>
      <c r="S88">
        <f t="shared" si="2"/>
        <v>0.35884753913314782</v>
      </c>
    </row>
    <row r="89" spans="1:19" x14ac:dyDescent="0.25">
      <c r="A89">
        <v>88</v>
      </c>
      <c r="B89">
        <v>1.3779544541977089</v>
      </c>
      <c r="C89" s="14">
        <v>709.41546630859375</v>
      </c>
      <c r="D89">
        <v>1.375151634216309</v>
      </c>
      <c r="E89">
        <f t="shared" si="3"/>
        <v>7.8557998481343247E-6</v>
      </c>
      <c r="F89">
        <v>1.691667246632278E-3</v>
      </c>
      <c r="G89" t="b">
        <v>0</v>
      </c>
      <c r="H89">
        <v>693.75</v>
      </c>
      <c r="I89">
        <v>731.25</v>
      </c>
      <c r="J89">
        <v>0.53854817152023315</v>
      </c>
      <c r="K89">
        <v>0.29003411531448359</v>
      </c>
      <c r="L89">
        <v>3.808110640775728E-3</v>
      </c>
      <c r="M89">
        <v>7.6162214390933514E-3</v>
      </c>
      <c r="N89">
        <v>2.80281998140075E-3</v>
      </c>
      <c r="O89">
        <v>6.7883416950050961</v>
      </c>
      <c r="P89">
        <v>70</v>
      </c>
      <c r="Q89">
        <v>20000</v>
      </c>
      <c r="R89" t="b">
        <v>1</v>
      </c>
      <c r="S89">
        <f t="shared" si="2"/>
        <v>0.20340439938797872</v>
      </c>
    </row>
    <row r="90" spans="1:19" x14ac:dyDescent="0.25">
      <c r="A90">
        <v>89</v>
      </c>
      <c r="B90">
        <v>1.4831413464062131</v>
      </c>
      <c r="C90" s="14">
        <v>658.56390380859375</v>
      </c>
      <c r="D90">
        <v>1.4825431108474729</v>
      </c>
      <c r="E90">
        <f t="shared" si="3"/>
        <v>3.578857837411607E-7</v>
      </c>
      <c r="F90">
        <v>2.1405306179076429E-3</v>
      </c>
      <c r="G90" t="b">
        <v>1</v>
      </c>
      <c r="H90">
        <v>643.75</v>
      </c>
      <c r="I90">
        <v>681.25</v>
      </c>
      <c r="J90">
        <v>0.5407295823097229</v>
      </c>
      <c r="K90">
        <v>0.29238849878311157</v>
      </c>
      <c r="L90">
        <v>3.8235355443937439E-3</v>
      </c>
      <c r="M90">
        <v>7.6470710337162018E-3</v>
      </c>
      <c r="N90">
        <v>5.9823555873994572E-4</v>
      </c>
      <c r="O90">
        <v>8376.404098929992</v>
      </c>
      <c r="P90">
        <v>70</v>
      </c>
      <c r="Q90">
        <v>20000</v>
      </c>
      <c r="R90" t="b">
        <v>1</v>
      </c>
      <c r="S90">
        <f t="shared" si="2"/>
        <v>4.033570773207322E-2</v>
      </c>
    </row>
    <row r="91" spans="1:19" x14ac:dyDescent="0.25">
      <c r="A91">
        <v>90</v>
      </c>
      <c r="B91">
        <v>1.60411161733039</v>
      </c>
      <c r="C91" s="14">
        <v>609.16339111328125</v>
      </c>
      <c r="D91">
        <v>1.605581402778625</v>
      </c>
      <c r="E91">
        <f t="shared" si="3"/>
        <v>2.1602692638435405E-6</v>
      </c>
      <c r="F91">
        <v>2.586782211437821E-3</v>
      </c>
      <c r="G91" t="b">
        <v>1</v>
      </c>
      <c r="H91">
        <v>600</v>
      </c>
      <c r="I91">
        <v>631.25</v>
      </c>
      <c r="J91">
        <v>0.54172325134277344</v>
      </c>
      <c r="K91">
        <v>0.29346409440040588</v>
      </c>
      <c r="L91">
        <v>3.8305618455089958E-3</v>
      </c>
      <c r="M91">
        <v>7.6611237600445747E-3</v>
      </c>
      <c r="N91">
        <v>1.469785448235061E-3</v>
      </c>
      <c r="O91">
        <v>5925.3651017309621</v>
      </c>
      <c r="P91">
        <v>70</v>
      </c>
      <c r="Q91">
        <v>20000</v>
      </c>
      <c r="R91" t="b">
        <v>1</v>
      </c>
      <c r="S91">
        <f t="shared" si="2"/>
        <v>9.1626133266282397E-2</v>
      </c>
    </row>
    <row r="92" spans="1:19" x14ac:dyDescent="0.25">
      <c r="A92">
        <v>91</v>
      </c>
      <c r="B92">
        <v>1.741164351173744</v>
      </c>
      <c r="C92" s="14">
        <v>561.83294677734375</v>
      </c>
      <c r="D92">
        <v>1.7451074123382571</v>
      </c>
      <c r="E92">
        <f t="shared" si="3"/>
        <v>1.5547731347090929E-5</v>
      </c>
      <c r="F92">
        <v>3.1471722759306431E-3</v>
      </c>
      <c r="G92" t="b">
        <v>1</v>
      </c>
      <c r="H92">
        <v>543.75</v>
      </c>
      <c r="I92">
        <v>581.25</v>
      </c>
      <c r="J92">
        <v>0.53951317071914673</v>
      </c>
      <c r="K92">
        <v>0.29107445478439331</v>
      </c>
      <c r="L92">
        <v>3.8149342155496409E-3</v>
      </c>
      <c r="M92">
        <v>7.6298685744404793E-3</v>
      </c>
      <c r="N92">
        <v>3.9430611645130398E-3</v>
      </c>
      <c r="O92">
        <v>4133.7489623763877</v>
      </c>
      <c r="P92">
        <v>70</v>
      </c>
      <c r="Q92">
        <v>20000</v>
      </c>
      <c r="R92" t="b">
        <v>1</v>
      </c>
      <c r="S92">
        <f t="shared" si="2"/>
        <v>0.22646117018505263</v>
      </c>
    </row>
    <row r="93" spans="1:19" x14ac:dyDescent="0.25">
      <c r="A93">
        <v>92</v>
      </c>
      <c r="B93">
        <v>1.8944949560389981</v>
      </c>
      <c r="C93" s="14">
        <v>517.19720458984375</v>
      </c>
      <c r="D93">
        <v>1.89471447467804</v>
      </c>
      <c r="E93">
        <f t="shared" si="3"/>
        <v>4.8188432886810005E-8</v>
      </c>
      <c r="F93">
        <v>3.6374018527567391E-3</v>
      </c>
      <c r="G93" t="b">
        <v>1</v>
      </c>
      <c r="H93">
        <v>493.75</v>
      </c>
      <c r="I93">
        <v>531.25</v>
      </c>
      <c r="J93">
        <v>0.54436945915222168</v>
      </c>
      <c r="K93">
        <v>0.29633811116218572</v>
      </c>
      <c r="L93">
        <v>3.849273360373892E-3</v>
      </c>
      <c r="M93">
        <v>7.6985466293990612E-3</v>
      </c>
      <c r="N93">
        <v>2.1951863904190461E-4</v>
      </c>
      <c r="O93">
        <v>3021.105968767085</v>
      </c>
      <c r="P93">
        <v>70</v>
      </c>
      <c r="Q93">
        <v>20000</v>
      </c>
      <c r="R93" t="b">
        <v>1</v>
      </c>
      <c r="S93">
        <f t="shared" si="2"/>
        <v>1.1587185193719029E-2</v>
      </c>
    </row>
    <row r="94" spans="1:19" x14ac:dyDescent="0.25">
      <c r="A94">
        <v>93</v>
      </c>
      <c r="B94">
        <v>2.0641515592264712</v>
      </c>
      <c r="C94" s="14">
        <v>475.73391723632813</v>
      </c>
      <c r="D94">
        <v>2.0646834373474121</v>
      </c>
      <c r="E94">
        <f t="shared" si="3"/>
        <v>2.8289433553563284E-7</v>
      </c>
      <c r="F94">
        <v>4.2521283030509949E-3</v>
      </c>
      <c r="G94" t="b">
        <v>1</v>
      </c>
      <c r="H94">
        <v>468.75</v>
      </c>
      <c r="I94">
        <v>506.25</v>
      </c>
      <c r="J94">
        <v>0.54014480113983154</v>
      </c>
      <c r="K94">
        <v>0.29175639152526861</v>
      </c>
      <c r="L94">
        <v>3.8194005170863409E-3</v>
      </c>
      <c r="M94">
        <v>7.6388008892536163E-3</v>
      </c>
      <c r="N94">
        <v>5.3187812094135367E-4</v>
      </c>
      <c r="O94">
        <v>2176.9809311967551</v>
      </c>
      <c r="P94">
        <v>70</v>
      </c>
      <c r="Q94">
        <v>20000</v>
      </c>
      <c r="R94" t="b">
        <v>1</v>
      </c>
      <c r="S94">
        <f t="shared" si="2"/>
        <v>2.5767396709022273E-2</v>
      </c>
    </row>
    <row r="95" spans="1:19" x14ac:dyDescent="0.25">
      <c r="A95">
        <v>94</v>
      </c>
      <c r="B95">
        <v>2.2499874789877352</v>
      </c>
      <c r="C95" s="14">
        <v>437.32403564453119</v>
      </c>
      <c r="D95">
        <v>2.2502238750457759</v>
      </c>
      <c r="E95">
        <f t="shared" si="3"/>
        <v>5.5883096257187184E-8</v>
      </c>
      <c r="F95">
        <v>5.0141783431172371E-3</v>
      </c>
      <c r="G95" t="b">
        <v>1</v>
      </c>
      <c r="H95">
        <v>418.75</v>
      </c>
      <c r="I95">
        <v>456.25</v>
      </c>
      <c r="J95">
        <v>0.54189616441726685</v>
      </c>
      <c r="K95">
        <v>0.29365143179893488</v>
      </c>
      <c r="L95">
        <v>3.831784525584297E-3</v>
      </c>
      <c r="M95">
        <v>7.6635689474642277E-3</v>
      </c>
      <c r="N95">
        <v>2.3639605804115499E-4</v>
      </c>
      <c r="O95">
        <v>1553.760833953382</v>
      </c>
      <c r="P95">
        <v>70</v>
      </c>
      <c r="Q95">
        <v>20000</v>
      </c>
      <c r="R95" t="b">
        <v>1</v>
      </c>
      <c r="S95">
        <f t="shared" si="2"/>
        <v>1.0506549936336051E-2</v>
      </c>
    </row>
    <row r="96" spans="1:19" x14ac:dyDescent="0.25">
      <c r="A96">
        <v>95</v>
      </c>
      <c r="B96">
        <v>2.451611489865392</v>
      </c>
      <c r="C96" s="14">
        <v>402.53265380859381</v>
      </c>
      <c r="D96">
        <v>2.4533123970031738</v>
      </c>
      <c r="E96">
        <f t="shared" si="3"/>
        <v>2.893085091357127E-6</v>
      </c>
      <c r="F96">
        <v>6.1460942961275578E-3</v>
      </c>
      <c r="G96" t="b">
        <v>1</v>
      </c>
      <c r="H96">
        <v>393.75</v>
      </c>
      <c r="I96">
        <v>431.25</v>
      </c>
      <c r="J96">
        <v>0.54150855541229248</v>
      </c>
      <c r="K96">
        <v>0.2932315468788147</v>
      </c>
      <c r="L96">
        <v>3.8290437160256332E-3</v>
      </c>
      <c r="M96">
        <v>7.6580876484513283E-3</v>
      </c>
      <c r="N96">
        <v>1.700907137781815E-3</v>
      </c>
      <c r="O96">
        <v>1067.681294348195</v>
      </c>
      <c r="P96">
        <v>70</v>
      </c>
      <c r="Q96">
        <v>20000</v>
      </c>
      <c r="R96" t="b">
        <v>1</v>
      </c>
      <c r="S96">
        <f t="shared" si="2"/>
        <v>6.9379146933073191E-2</v>
      </c>
    </row>
    <row r="97" spans="1:19" x14ac:dyDescent="0.25">
      <c r="A97">
        <v>96</v>
      </c>
      <c r="B97">
        <v>2.668338221910707</v>
      </c>
      <c r="C97" s="14">
        <v>370.69317626953119</v>
      </c>
      <c r="D97">
        <v>2.6640868186950679</v>
      </c>
      <c r="E97">
        <f t="shared" si="3"/>
        <v>1.8074429301946517E-5</v>
      </c>
      <c r="F97">
        <v>7.0380507968366146E-3</v>
      </c>
      <c r="G97" t="b">
        <v>1</v>
      </c>
      <c r="H97">
        <v>350</v>
      </c>
      <c r="I97">
        <v>381.25</v>
      </c>
      <c r="J97">
        <v>0.55232340097427368</v>
      </c>
      <c r="K97">
        <v>0.30506113171577448</v>
      </c>
      <c r="L97">
        <v>3.9055162223692549E-3</v>
      </c>
      <c r="M97">
        <v>7.811032235622406E-3</v>
      </c>
      <c r="N97">
        <v>4.2514032156386614E-3</v>
      </c>
      <c r="O97">
        <v>787.06390842971723</v>
      </c>
      <c r="P97">
        <v>70</v>
      </c>
      <c r="Q97">
        <v>20000</v>
      </c>
      <c r="R97" t="b">
        <v>1</v>
      </c>
      <c r="S97">
        <f t="shared" si="2"/>
        <v>0.15932774866127636</v>
      </c>
    </row>
    <row r="98" spans="1:19" x14ac:dyDescent="0.25">
      <c r="A98">
        <v>97</v>
      </c>
      <c r="B98">
        <v>2.8991416438778361</v>
      </c>
      <c r="C98" s="14">
        <v>342.44683837890619</v>
      </c>
      <c r="D98">
        <v>2.8974988460540771</v>
      </c>
      <c r="E98">
        <f t="shared" si="3"/>
        <v>2.6987846897472378E-6</v>
      </c>
      <c r="F98">
        <v>8.0352509394288063E-3</v>
      </c>
      <c r="G98" t="b">
        <v>1</v>
      </c>
      <c r="H98">
        <v>318.75</v>
      </c>
      <c r="I98">
        <v>356.25</v>
      </c>
      <c r="J98">
        <v>0.55505967140197754</v>
      </c>
      <c r="K98">
        <v>0.30809125304222112</v>
      </c>
      <c r="L98">
        <v>3.9248645761151514E-3</v>
      </c>
      <c r="M98">
        <v>7.8497286885976791E-3</v>
      </c>
      <c r="N98">
        <v>1.642797823758535E-3</v>
      </c>
      <c r="O98">
        <v>583.99057278602959</v>
      </c>
      <c r="P98">
        <v>70</v>
      </c>
      <c r="Q98">
        <v>20000</v>
      </c>
      <c r="R98" t="b">
        <v>1</v>
      </c>
      <c r="S98">
        <f t="shared" si="2"/>
        <v>5.6664972793849432E-2</v>
      </c>
    </row>
    <row r="99" spans="1:19" x14ac:dyDescent="0.25">
      <c r="A99">
        <v>98</v>
      </c>
      <c r="B99">
        <v>3.1426150900261072</v>
      </c>
      <c r="C99" s="14">
        <v>317.7115478515625</v>
      </c>
      <c r="D99">
        <v>3.148351669311523</v>
      </c>
      <c r="E99">
        <f t="shared" si="3"/>
        <v>3.29083418978619E-5</v>
      </c>
      <c r="F99">
        <v>9.2890560626983643E-3</v>
      </c>
      <c r="G99" t="b">
        <v>1</v>
      </c>
      <c r="H99">
        <v>293.75</v>
      </c>
      <c r="I99">
        <v>331.25</v>
      </c>
      <c r="J99">
        <v>0.56511878967285156</v>
      </c>
      <c r="K99">
        <v>0.31935924291610718</v>
      </c>
      <c r="L99">
        <v>3.9959932835360763E-3</v>
      </c>
      <c r="M99">
        <v>7.9919863492250443E-3</v>
      </c>
      <c r="N99">
        <v>5.7365792854162656E-3</v>
      </c>
      <c r="O99">
        <v>429.92250757184502</v>
      </c>
      <c r="P99">
        <v>70</v>
      </c>
      <c r="Q99">
        <v>20000</v>
      </c>
      <c r="R99" t="b">
        <v>1</v>
      </c>
      <c r="S99">
        <f t="shared" si="2"/>
        <v>0.18254158148806601</v>
      </c>
    </row>
    <row r="100" spans="1:19" x14ac:dyDescent="0.25">
      <c r="A100">
        <v>99</v>
      </c>
      <c r="B100">
        <v>3.396941596840962</v>
      </c>
      <c r="C100" s="14">
        <v>295.99356079101563</v>
      </c>
      <c r="D100">
        <v>3.395908117294312</v>
      </c>
      <c r="E100">
        <f t="shared" si="3"/>
        <v>1.0680799733439037E-6</v>
      </c>
      <c r="F100">
        <v>1.046575699001551E-2</v>
      </c>
      <c r="G100" t="b">
        <v>1</v>
      </c>
      <c r="H100">
        <v>268.75</v>
      </c>
      <c r="I100">
        <v>306.25</v>
      </c>
      <c r="J100">
        <v>0.56142938137054443</v>
      </c>
      <c r="K100">
        <v>0.31520295143127441</v>
      </c>
      <c r="L100">
        <v>3.969905227244803E-3</v>
      </c>
      <c r="M100">
        <v>7.9398108646273613E-3</v>
      </c>
      <c r="N100">
        <v>1.0334795466500069E-3</v>
      </c>
      <c r="O100">
        <v>326.58583376427657</v>
      </c>
      <c r="P100">
        <v>70</v>
      </c>
      <c r="Q100">
        <v>20000</v>
      </c>
      <c r="R100" t="b">
        <v>0</v>
      </c>
      <c r="S100">
        <f t="shared" si="2"/>
        <v>3.0423824407552577E-2</v>
      </c>
    </row>
    <row r="101" spans="1:19" x14ac:dyDescent="0.25">
      <c r="A101">
        <v>100</v>
      </c>
      <c r="B101">
        <v>3.65987831595602</v>
      </c>
      <c r="C101" s="14">
        <v>277.44094848632813</v>
      </c>
      <c r="D101">
        <v>3.663387537002563</v>
      </c>
      <c r="E101">
        <f t="shared" si="3"/>
        <v>1.2314632353500727E-5</v>
      </c>
      <c r="F101">
        <v>1.132305338978767E-2</v>
      </c>
      <c r="G101" t="b">
        <v>1</v>
      </c>
      <c r="H101">
        <v>268.75</v>
      </c>
      <c r="I101">
        <v>306.25</v>
      </c>
      <c r="J101">
        <v>0.55844169855117798</v>
      </c>
      <c r="K101">
        <v>0.31185716390609741</v>
      </c>
      <c r="L101">
        <v>3.9487791194287173E-3</v>
      </c>
      <c r="M101">
        <v>7.8975586220622063E-3</v>
      </c>
      <c r="N101">
        <v>3.5092210465386131E-3</v>
      </c>
      <c r="O101">
        <v>260.04427790048851</v>
      </c>
      <c r="P101">
        <v>70</v>
      </c>
      <c r="Q101">
        <v>20000</v>
      </c>
      <c r="R101" t="b">
        <v>0</v>
      </c>
      <c r="S101">
        <f t="shared" si="2"/>
        <v>9.5883544303629317E-2</v>
      </c>
    </row>
    <row r="102" spans="1:19" x14ac:dyDescent="0.25">
      <c r="A102">
        <v>101</v>
      </c>
      <c r="B102">
        <v>3.9287583783681899</v>
      </c>
      <c r="C102" s="14">
        <v>262.08700561523438</v>
      </c>
      <c r="D102">
        <v>3.9297914505004878</v>
      </c>
      <c r="E102">
        <f t="shared" si="3"/>
        <v>1.0672380305306829E-6</v>
      </c>
      <c r="F102">
        <v>1.2498758733272551E-2</v>
      </c>
      <c r="G102" t="b">
        <v>1</v>
      </c>
      <c r="H102">
        <v>243.75</v>
      </c>
      <c r="I102">
        <v>281.25</v>
      </c>
      <c r="J102">
        <v>0.56631797552108765</v>
      </c>
      <c r="K102">
        <v>0.32071602344512939</v>
      </c>
      <c r="L102">
        <v>4.0044728079879832E-3</v>
      </c>
      <c r="M102">
        <v>8.0089457333087921E-3</v>
      </c>
      <c r="N102">
        <v>1.0330721322979741E-3</v>
      </c>
      <c r="O102">
        <v>204.44035388056281</v>
      </c>
      <c r="P102">
        <v>70</v>
      </c>
      <c r="Q102">
        <v>20000</v>
      </c>
      <c r="R102" t="b">
        <v>0</v>
      </c>
      <c r="S102">
        <f t="shared" si="2"/>
        <v>2.6295130237229319E-2</v>
      </c>
    </row>
    <row r="103" spans="1:19" x14ac:dyDescent="0.25">
      <c r="S103">
        <f>AVERAGE(S2:S102)</f>
        <v>8.9664837333458189E-2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2026-08-14T04:36:55Z</dcterms:modified>
</cp:coreProperties>
</file>