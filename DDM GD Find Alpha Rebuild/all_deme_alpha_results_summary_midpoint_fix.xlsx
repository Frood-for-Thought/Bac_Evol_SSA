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F31FFFFD-76A7-404F-9C10-1EC76E3EA07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  <c r="S102" i="1"/>
  <c r="S101" i="1"/>
  <c r="S93" i="1"/>
  <c r="S94" i="1"/>
  <c r="S95" i="1"/>
  <c r="S96" i="1"/>
  <c r="S97" i="1"/>
  <c r="S98" i="1"/>
  <c r="S99" i="1"/>
  <c r="S100" i="1"/>
  <c r="S92" i="1"/>
  <c r="S91" i="1"/>
  <c r="S89" i="1"/>
  <c r="S90" i="1"/>
  <c r="S87" i="1"/>
  <c r="S84" i="1"/>
  <c r="S88" i="1"/>
  <c r="S86" i="1"/>
  <c r="S85" i="1"/>
  <c r="S82" i="1"/>
  <c r="S83" i="1"/>
  <c r="S80" i="1"/>
  <c r="S81" i="1"/>
  <c r="S78" i="1"/>
  <c r="S79" i="1"/>
  <c r="S77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62" i="1"/>
  <c r="S59" i="1"/>
  <c r="S60" i="1"/>
  <c r="S61" i="1"/>
  <c r="S58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2" i="1"/>
  <c r="N9" i="1"/>
  <c r="S9" i="1" s="1"/>
</calcChain>
</file>

<file path=xl/sharedStrings.xml><?xml version="1.0" encoding="utf-8"?>
<sst xmlns="http://schemas.openxmlformats.org/spreadsheetml/2006/main" count="19" uniqueCount="19">
  <si>
    <t>deme_index</t>
  </si>
  <si>
    <t>v_d_target</t>
  </si>
  <si>
    <t>alpha_star</t>
  </si>
  <si>
    <t>mu_final</t>
  </si>
  <si>
    <t>final_loss</t>
  </si>
  <si>
    <t>mk_slope_final</t>
  </si>
  <si>
    <t>pr_slope_ready</t>
  </si>
  <si>
    <t>alpha_min</t>
  </si>
  <si>
    <t>alpha_max</t>
  </si>
  <si>
    <t>std_final</t>
  </si>
  <si>
    <t>var_final</t>
  </si>
  <si>
    <t>std_err_final</t>
  </si>
  <si>
    <t>std_err_ci_final</t>
  </si>
  <si>
    <t>abs(mu_minus_vd)</t>
  </si>
  <si>
    <t>learning_rate</t>
  </si>
  <si>
    <t>num_epochs</t>
  </si>
  <si>
    <t>linear_filter_region</t>
  </si>
  <si>
    <t>Error: (mu - vd)/vd * 100%</t>
  </si>
  <si>
    <t>max_n_samples_final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</si>
</sst>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topLeftCell="C1" workbookViewId="0">
      <pane ySplit="1" topLeftCell="A35" activePane="bottomLeft" state="frozen"/>
      <selection pane="bottomLeft" activeCell="F49" sqref="F49"/>
    </sheetView>
  </sheetViews>
  <sheetFormatPr defaultRowHeight="15" x14ac:dyDescent="0.25"/>
  <cols>
    <col min="1" max="1" width="12.140625" bestFit="1" customWidth="1"/>
    <col min="2" max="2" width="11" bestFit="1" customWidth="1"/>
    <col min="3" max="5" width="12" bestFit="1" customWidth="1"/>
    <col min="6" max="6" width="14.7109375" bestFit="1" customWidth="1"/>
    <col min="7" max="7" width="14.85546875" bestFit="1" customWidth="1"/>
    <col min="8" max="8" width="10.28515625" bestFit="1" customWidth="1"/>
    <col min="9" max="9" width="10.5703125" bestFit="1" customWidth="1"/>
    <col min="10" max="11" width="12" bestFit="1" customWidth="1"/>
    <col min="12" max="12" width="12.28515625" bestFit="1" customWidth="1"/>
    <col min="13" max="13" width="14.85546875" bestFit="1" customWidth="1"/>
    <col min="14" max="14" width="18.140625" bestFit="1" customWidth="1"/>
    <col min="15" max="15" width="12.85546875" bestFit="1" customWidth="1"/>
    <col min="16" max="16" width="12.28515625" bestFit="1" customWidth="1"/>
    <col min="17" max="17" width="14" bestFit="1" customWidth="1"/>
    <col min="18" max="18" width="18.5703125" bestFit="1" customWidth="1"/>
    <col min="19" max="19" width="24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2" t="s">
        <v>16</v>
      </c>
      <c r="S1" s="2" t="s">
        <v>17</v>
      </c>
    </row>
    <row r="2" spans="1:19" x14ac:dyDescent="0.25">
      <c r="A2">
        <v>1</v>
      </c>
      <c r="B2">
        <v>6.8255138645384933E-2</v>
      </c>
      <c r="C2">
        <v>19727.87890625</v>
      </c>
      <c r="D2">
        <v>6.6876111589908596E-2</v>
      </c>
      <c r="E2">
        <f>(B2-D2)^2</f>
        <v>1.9017156197357355E-6</v>
      </c>
      <c r="F2">
        <v>6.1902433117211331E-6</v>
      </c>
      <c r="G2" t="b">
        <v>1</v>
      </c>
      <c r="H2">
        <v>18750</v>
      </c>
      <c r="I2">
        <v>20250</v>
      </c>
      <c r="J2">
        <v>0.55052965879440308</v>
      </c>
      <c r="K2">
        <v>0.3030829131603241</v>
      </c>
      <c r="L2">
        <v>3.8928325497783862E-3</v>
      </c>
      <c r="M2">
        <v>7.7856648713350296E-3</v>
      </c>
      <c r="N2">
        <v>1.3790270554763367E-3</v>
      </c>
      <c r="O2">
        <v>229448709.42249441</v>
      </c>
      <c r="P2">
        <v>150</v>
      </c>
      <c r="Q2">
        <v>20000</v>
      </c>
      <c r="R2" t="b">
        <v>1</v>
      </c>
      <c r="S2">
        <f>(N2/B2)*100</f>
        <v>2.0204003432488515</v>
      </c>
    </row>
    <row r="3" spans="1:19" x14ac:dyDescent="0.25">
      <c r="A3">
        <v>2</v>
      </c>
      <c r="B3">
        <v>7.7261312811500088E-2</v>
      </c>
      <c r="C3">
        <v>16770.40234375</v>
      </c>
      <c r="D3">
        <v>7.5164414942264557E-2</v>
      </c>
      <c r="E3">
        <f t="shared" ref="E3:E66" si="0">(B3-D3)^2</f>
        <v>4.3969806740045109E-6</v>
      </c>
      <c r="F3">
        <v>5.1348115448490717E-6</v>
      </c>
      <c r="G3" t="b">
        <v>1</v>
      </c>
      <c r="H3">
        <v>14250</v>
      </c>
      <c r="I3">
        <v>18750</v>
      </c>
      <c r="J3">
        <v>0.55166816711425781</v>
      </c>
      <c r="K3">
        <v>0.30433773994445801</v>
      </c>
      <c r="L3">
        <v>3.9008830193124522E-3</v>
      </c>
      <c r="M3">
        <v>7.8017660416662693E-3</v>
      </c>
      <c r="N3">
        <v>2.0968978692355311E-3</v>
      </c>
      <c r="O3">
        <v>215881471.44897291</v>
      </c>
      <c r="P3">
        <v>150</v>
      </c>
      <c r="Q3">
        <v>20000</v>
      </c>
      <c r="R3" t="b">
        <v>1</v>
      </c>
      <c r="S3">
        <f t="shared" ref="S3:S66" si="1">(N3/B3)*100</f>
        <v>2.7140334443338827</v>
      </c>
    </row>
    <row r="4" spans="1:19" x14ac:dyDescent="0.25">
      <c r="A4">
        <v>3</v>
      </c>
      <c r="B4">
        <v>8.7437268462869769E-2</v>
      </c>
      <c r="C4">
        <v>14446.8076171875</v>
      </c>
      <c r="D4">
        <v>8.8034152984619141E-2</v>
      </c>
      <c r="E4">
        <f t="shared" si="0"/>
        <v>3.5627113230397628E-7</v>
      </c>
      <c r="F4">
        <v>1.503678595327074E-5</v>
      </c>
      <c r="G4" t="b">
        <v>1</v>
      </c>
      <c r="H4">
        <v>13750</v>
      </c>
      <c r="I4">
        <v>15000</v>
      </c>
      <c r="J4">
        <v>0.55165088176727295</v>
      </c>
      <c r="K4">
        <v>0.30431869626045233</v>
      </c>
      <c r="L4">
        <v>3.9007607934517709E-3</v>
      </c>
      <c r="M4">
        <v>7.8015215694904327E-3</v>
      </c>
      <c r="N4">
        <v>5.9688452174937179E-4</v>
      </c>
      <c r="O4">
        <v>57559347.746496662</v>
      </c>
      <c r="P4">
        <v>150</v>
      </c>
      <c r="Q4">
        <v>20000</v>
      </c>
      <c r="R4" t="b">
        <v>1</v>
      </c>
      <c r="S4">
        <f t="shared" si="1"/>
        <v>0.68264314775894308</v>
      </c>
    </row>
    <row r="5" spans="1:19" x14ac:dyDescent="0.25">
      <c r="A5">
        <v>4</v>
      </c>
      <c r="B5">
        <v>9.8929739735079153E-2</v>
      </c>
      <c r="C5">
        <v>12377.0849609375</v>
      </c>
      <c r="D5">
        <v>0.1018834933638573</v>
      </c>
      <c r="E5">
        <f t="shared" si="0"/>
        <v>8.7246604995200541E-6</v>
      </c>
      <c r="F5">
        <v>1.474570581194712E-5</v>
      </c>
      <c r="G5" t="b">
        <v>1</v>
      </c>
      <c r="H5">
        <v>11750</v>
      </c>
      <c r="I5">
        <v>13250</v>
      </c>
      <c r="J5">
        <v>0.5475306510925293</v>
      </c>
      <c r="K5">
        <v>0.29978984594345093</v>
      </c>
      <c r="L5">
        <v>3.87162636295013E-3</v>
      </c>
      <c r="M5">
        <v>7.743252906948328E-3</v>
      </c>
      <c r="N5">
        <v>2.9537536287781441E-3</v>
      </c>
      <c r="O5">
        <v>45850570.836959213</v>
      </c>
      <c r="P5">
        <v>150</v>
      </c>
      <c r="Q5">
        <v>20000</v>
      </c>
      <c r="R5" t="b">
        <v>1</v>
      </c>
      <c r="S5">
        <f t="shared" si="1"/>
        <v>2.9857084802688334</v>
      </c>
    </row>
    <row r="6" spans="1:19" x14ac:dyDescent="0.25">
      <c r="A6">
        <v>5</v>
      </c>
      <c r="B6">
        <v>0.1119024130228327</v>
      </c>
      <c r="C6">
        <v>10614.443359375</v>
      </c>
      <c r="D6">
        <v>0.11329691112041471</v>
      </c>
      <c r="E6">
        <f t="shared" si="0"/>
        <v>1.9446249441598337E-6</v>
      </c>
      <c r="F6">
        <v>1.1974460903729779E-5</v>
      </c>
      <c r="G6" t="b">
        <v>1</v>
      </c>
      <c r="H6">
        <v>10000</v>
      </c>
      <c r="I6">
        <v>11250</v>
      </c>
      <c r="J6">
        <v>0.54931265115737915</v>
      </c>
      <c r="K6">
        <v>0.30174437165260309</v>
      </c>
      <c r="L6">
        <v>3.884227006249432E-3</v>
      </c>
      <c r="M6">
        <v>7.7684540301561364E-3</v>
      </c>
      <c r="N6">
        <v>1.3944980975820059E-3</v>
      </c>
      <c r="O6">
        <v>134672597.50299519</v>
      </c>
      <c r="P6">
        <v>100</v>
      </c>
      <c r="Q6">
        <v>20000</v>
      </c>
      <c r="R6" t="b">
        <v>1</v>
      </c>
      <c r="S6">
        <f t="shared" si="1"/>
        <v>1.2461733933275156</v>
      </c>
    </row>
    <row r="7" spans="1:19" x14ac:dyDescent="0.25">
      <c r="A7">
        <v>6</v>
      </c>
      <c r="B7">
        <v>0.12653747766179149</v>
      </c>
      <c r="C7">
        <v>9169.5654296875</v>
      </c>
      <c r="D7">
        <v>0.12517066299915311</v>
      </c>
      <c r="E7">
        <f t="shared" si="0"/>
        <v>1.8681823220032757E-6</v>
      </c>
      <c r="F7">
        <v>1.929402424138971E-5</v>
      </c>
      <c r="G7" t="b">
        <v>1</v>
      </c>
      <c r="H7">
        <v>7750</v>
      </c>
      <c r="I7">
        <v>9250</v>
      </c>
      <c r="J7">
        <v>0.54851353168487549</v>
      </c>
      <c r="K7">
        <v>0.30086711049079901</v>
      </c>
      <c r="L7">
        <v>3.878576378269577E-3</v>
      </c>
      <c r="M7">
        <v>7.757152896374464E-3</v>
      </c>
      <c r="N7">
        <v>1.366814662638383E-3</v>
      </c>
      <c r="O7">
        <v>41834339.641357012</v>
      </c>
      <c r="P7">
        <v>120</v>
      </c>
      <c r="Q7">
        <v>20000</v>
      </c>
      <c r="R7" t="b">
        <v>1</v>
      </c>
      <c r="S7">
        <f t="shared" si="1"/>
        <v>1.0801658827842262</v>
      </c>
    </row>
    <row r="8" spans="1:19" x14ac:dyDescent="0.25">
      <c r="A8">
        <v>7</v>
      </c>
      <c r="B8">
        <v>0.14303719980762769</v>
      </c>
      <c r="C8">
        <v>7963.41650390625</v>
      </c>
      <c r="D8">
        <v>0.14415986835956571</v>
      </c>
      <c r="E8">
        <f t="shared" si="0"/>
        <v>1.2603846775106027E-6</v>
      </c>
      <c r="F8">
        <v>2.215739004896022E-5</v>
      </c>
      <c r="G8" t="b">
        <v>1</v>
      </c>
      <c r="H8">
        <v>6750</v>
      </c>
      <c r="I8">
        <v>8250</v>
      </c>
      <c r="J8">
        <v>0.55184644460678101</v>
      </c>
      <c r="K8">
        <v>0.30453449487686157</v>
      </c>
      <c r="L8">
        <v>3.902143631551413E-3</v>
      </c>
      <c r="M8">
        <v>7.8042871318757534E-3</v>
      </c>
      <c r="N8">
        <v>1.1226685519380439E-3</v>
      </c>
      <c r="O8">
        <v>28508704.493796129</v>
      </c>
      <c r="P8">
        <v>120</v>
      </c>
      <c r="Q8">
        <v>20000</v>
      </c>
      <c r="R8" t="b">
        <v>1</v>
      </c>
      <c r="S8">
        <f t="shared" si="1"/>
        <v>0.78487872626696631</v>
      </c>
    </row>
    <row r="9" spans="1:19" x14ac:dyDescent="0.25">
      <c r="A9">
        <v>8</v>
      </c>
      <c r="B9">
        <v>0.1616254787212342</v>
      </c>
      <c r="C9">
        <v>6919.48779296875</v>
      </c>
      <c r="D9">
        <v>0.16161872446537021</v>
      </c>
      <c r="E9">
        <f t="shared" si="0"/>
        <v>4.5619972276302238E-11</v>
      </c>
      <c r="F9">
        <v>2.9522683689720001E-5</v>
      </c>
      <c r="G9" t="b">
        <v>1</v>
      </c>
      <c r="H9">
        <v>5750</v>
      </c>
      <c r="I9">
        <v>7250</v>
      </c>
      <c r="J9">
        <v>0.54778468608856201</v>
      </c>
      <c r="K9">
        <v>0.30006805062294012</v>
      </c>
      <c r="L9">
        <v>3.8734226616336642E-3</v>
      </c>
      <c r="M9">
        <v>7.7468454837799072E-3</v>
      </c>
      <c r="N9">
        <f>B9-D9</f>
        <v>6.7542558639943628E-6</v>
      </c>
      <c r="O9">
        <v>16757861.71388893</v>
      </c>
      <c r="P9">
        <v>120</v>
      </c>
      <c r="Q9">
        <v>20000</v>
      </c>
      <c r="R9" t="b">
        <v>1</v>
      </c>
      <c r="S9">
        <f t="shared" si="1"/>
        <v>4.1789549008197282E-3</v>
      </c>
    </row>
    <row r="10" spans="1:19" x14ac:dyDescent="0.25">
      <c r="A10">
        <v>9</v>
      </c>
      <c r="B10">
        <v>0.1825493302612313</v>
      </c>
      <c r="C10">
        <v>5999.59765625</v>
      </c>
      <c r="D10">
        <v>0.1818207651376724</v>
      </c>
      <c r="E10">
        <f t="shared" si="0"/>
        <v>5.3080713926639474E-7</v>
      </c>
      <c r="F10">
        <v>3.1045878131408238E-5</v>
      </c>
      <c r="G10" t="b">
        <v>1</v>
      </c>
      <c r="H10">
        <v>5750</v>
      </c>
      <c r="I10">
        <v>7250</v>
      </c>
      <c r="J10">
        <v>0.54828858375549316</v>
      </c>
      <c r="K10">
        <v>0.30062034726142878</v>
      </c>
      <c r="L10">
        <v>3.876985756206775E-3</v>
      </c>
      <c r="M10">
        <v>7.7539714984595784E-3</v>
      </c>
      <c r="N10">
        <v>7.2856512355887193E-4</v>
      </c>
      <c r="O10">
        <v>12491933.049825611</v>
      </c>
      <c r="P10">
        <v>120</v>
      </c>
      <c r="Q10">
        <v>20000</v>
      </c>
      <c r="R10" t="b">
        <v>1</v>
      </c>
      <c r="S10">
        <f t="shared" si="1"/>
        <v>0.39910588689439858</v>
      </c>
    </row>
    <row r="11" spans="1:19" x14ac:dyDescent="0.25">
      <c r="A11">
        <v>10</v>
      </c>
      <c r="B11">
        <v>0.20608022489221051</v>
      </c>
      <c r="C11">
        <v>5246.669921875</v>
      </c>
      <c r="D11">
        <v>0.20512519776821139</v>
      </c>
      <c r="E11">
        <f t="shared" si="0"/>
        <v>9.1207680757401852E-7</v>
      </c>
      <c r="F11">
        <v>4.5797616621712223E-5</v>
      </c>
      <c r="G11" t="b">
        <v>1</v>
      </c>
      <c r="H11">
        <v>4750</v>
      </c>
      <c r="I11">
        <v>6250</v>
      </c>
      <c r="J11">
        <v>0.54416519403457642</v>
      </c>
      <c r="K11">
        <v>0.29611572623252869</v>
      </c>
      <c r="L11">
        <v>3.847828987875424E-3</v>
      </c>
      <c r="M11">
        <v>7.6956581324338913E-3</v>
      </c>
      <c r="N11">
        <v>9.5502712399916923E-4</v>
      </c>
      <c r="O11">
        <v>6644748.8053372381</v>
      </c>
      <c r="P11">
        <v>120</v>
      </c>
      <c r="Q11">
        <v>20000</v>
      </c>
      <c r="R11" t="b">
        <v>1</v>
      </c>
      <c r="S11">
        <f t="shared" si="1"/>
        <v>0.46342492323011231</v>
      </c>
    </row>
    <row r="12" spans="1:19" x14ac:dyDescent="0.25">
      <c r="A12">
        <v>11</v>
      </c>
      <c r="B12">
        <v>0.23251518669686461</v>
      </c>
      <c r="C12">
        <v>4562.123046875</v>
      </c>
      <c r="D12">
        <v>0.22801920771598819</v>
      </c>
      <c r="E12">
        <f t="shared" si="0"/>
        <v>2.0213826996482567E-5</v>
      </c>
      <c r="F12">
        <v>5.7021923566935577E-5</v>
      </c>
      <c r="G12" t="b">
        <v>1</v>
      </c>
      <c r="H12">
        <v>3750</v>
      </c>
      <c r="I12">
        <v>5250</v>
      </c>
      <c r="J12">
        <v>0.55357307195663452</v>
      </c>
      <c r="K12">
        <v>0.30644312500953669</v>
      </c>
      <c r="L12">
        <v>3.9143527306280488E-3</v>
      </c>
      <c r="M12">
        <v>7.8287050127983093E-3</v>
      </c>
      <c r="N12">
        <v>4.4959789808764195E-3</v>
      </c>
      <c r="O12">
        <v>4192273.1588201318</v>
      </c>
      <c r="P12">
        <v>120</v>
      </c>
      <c r="Q12">
        <v>20000</v>
      </c>
      <c r="R12" t="b">
        <v>1</v>
      </c>
      <c r="S12">
        <f t="shared" si="1"/>
        <v>1.9336280974790394</v>
      </c>
    </row>
    <row r="13" spans="1:19" x14ac:dyDescent="0.25">
      <c r="A13">
        <v>12</v>
      </c>
      <c r="B13">
        <v>0.26217753565747121</v>
      </c>
      <c r="C13">
        <v>4005.86962890625</v>
      </c>
      <c r="D13">
        <v>0.2642558217048645</v>
      </c>
      <c r="E13">
        <f t="shared" si="0"/>
        <v>4.3192728947896503E-6</v>
      </c>
      <c r="F13">
        <v>7.178896339610219E-5</v>
      </c>
      <c r="G13" t="b">
        <v>1</v>
      </c>
      <c r="H13">
        <v>3750</v>
      </c>
      <c r="I13">
        <v>5250</v>
      </c>
      <c r="J13">
        <v>0.54493433237075806</v>
      </c>
      <c r="K13">
        <v>0.29695343971252441</v>
      </c>
      <c r="L13">
        <v>3.8532676172072702E-3</v>
      </c>
      <c r="M13">
        <v>7.7065350487828246E-3</v>
      </c>
      <c r="N13">
        <v>2.0782860473933522E-3</v>
      </c>
      <c r="O13">
        <v>2619060.000737112</v>
      </c>
      <c r="P13">
        <v>120</v>
      </c>
      <c r="Q13">
        <v>20000</v>
      </c>
      <c r="R13" t="b">
        <v>1</v>
      </c>
      <c r="S13">
        <f t="shared" si="1"/>
        <v>0.79270180115987665</v>
      </c>
    </row>
    <row r="14" spans="1:19" x14ac:dyDescent="0.25">
      <c r="A14">
        <v>13</v>
      </c>
      <c r="B14">
        <v>0.29541712804948039</v>
      </c>
      <c r="C14">
        <v>3519.489990234375</v>
      </c>
      <c r="D14">
        <v>0.29931411147117609</v>
      </c>
      <c r="E14">
        <f t="shared" si="0"/>
        <v>1.5186479788971117E-5</v>
      </c>
      <c r="F14">
        <v>8.4665764006786048E-5</v>
      </c>
      <c r="G14" t="b">
        <v>1</v>
      </c>
      <c r="H14">
        <v>2750</v>
      </c>
      <c r="I14">
        <v>4250</v>
      </c>
      <c r="J14">
        <v>0.55061483383178711</v>
      </c>
      <c r="K14">
        <v>0.30317670106887817</v>
      </c>
      <c r="L14">
        <v>3.8934348282436068E-3</v>
      </c>
      <c r="M14">
        <v>7.7868695370852947E-3</v>
      </c>
      <c r="N14">
        <v>3.8969834216956989E-3</v>
      </c>
      <c r="O14">
        <v>1749101.084245757</v>
      </c>
      <c r="P14">
        <v>120</v>
      </c>
      <c r="Q14">
        <v>20000</v>
      </c>
      <c r="R14" t="b">
        <v>1</v>
      </c>
      <c r="S14">
        <f t="shared" si="1"/>
        <v>1.3191460655737537</v>
      </c>
    </row>
    <row r="15" spans="1:19" x14ac:dyDescent="0.25">
      <c r="A15">
        <v>14</v>
      </c>
      <c r="B15">
        <v>0.33260991979033733</v>
      </c>
      <c r="C15">
        <v>3091.037109375</v>
      </c>
      <c r="D15">
        <v>0.33368292450904852</v>
      </c>
      <c r="E15">
        <f t="shared" si="0"/>
        <v>1.1513391263764805E-6</v>
      </c>
      <c r="F15">
        <v>1.1837275815196339E-4</v>
      </c>
      <c r="G15" t="b">
        <v>1</v>
      </c>
      <c r="H15">
        <v>2750</v>
      </c>
      <c r="I15">
        <v>4250</v>
      </c>
      <c r="J15">
        <v>0.54738181829452515</v>
      </c>
      <c r="K15">
        <v>0.29962685704231262</v>
      </c>
      <c r="L15">
        <v>3.8705739561428129E-3</v>
      </c>
      <c r="M15">
        <v>7.741148117929697E-3</v>
      </c>
      <c r="N15">
        <v>1.0730047187111902E-3</v>
      </c>
      <c r="O15">
        <v>986897.21214908699</v>
      </c>
      <c r="P15">
        <v>120</v>
      </c>
      <c r="Q15">
        <v>20000</v>
      </c>
      <c r="R15" t="b">
        <v>1</v>
      </c>
      <c r="S15">
        <f t="shared" si="1"/>
        <v>0.32260153857935603</v>
      </c>
    </row>
    <row r="16" spans="1:19" x14ac:dyDescent="0.25">
      <c r="A16">
        <v>15</v>
      </c>
      <c r="B16">
        <v>0.37415664623331951</v>
      </c>
      <c r="C16">
        <v>2726.815673828125</v>
      </c>
      <c r="D16">
        <v>0.37100070714950562</v>
      </c>
      <c r="E16">
        <f t="shared" si="0"/>
        <v>9.9599515007440983E-6</v>
      </c>
      <c r="F16">
        <v>1.423599605914205E-4</v>
      </c>
      <c r="G16" t="b">
        <v>1</v>
      </c>
      <c r="H16">
        <v>2000</v>
      </c>
      <c r="I16">
        <v>3250</v>
      </c>
      <c r="J16">
        <v>0.54629391431808472</v>
      </c>
      <c r="K16">
        <v>0.29843702912330627</v>
      </c>
      <c r="L16">
        <v>3.862881313352605E-3</v>
      </c>
      <c r="M16">
        <v>7.7257626689970493E-3</v>
      </c>
      <c r="N16">
        <v>3.1559390838138968E-3</v>
      </c>
      <c r="O16">
        <v>648484.04729090398</v>
      </c>
      <c r="P16">
        <v>120</v>
      </c>
      <c r="Q16">
        <v>20000</v>
      </c>
      <c r="R16" t="b">
        <v>1</v>
      </c>
      <c r="S16">
        <f t="shared" si="1"/>
        <v>0.8434806960093103</v>
      </c>
    </row>
    <row r="17" spans="1:19" x14ac:dyDescent="0.25">
      <c r="A17">
        <v>16</v>
      </c>
      <c r="B17">
        <v>0.4204803812220419</v>
      </c>
      <c r="C17">
        <v>2410.089111328125</v>
      </c>
      <c r="D17">
        <v>0.42623931169509888</v>
      </c>
      <c r="E17">
        <f t="shared" si="0"/>
        <v>3.3165280193504268E-5</v>
      </c>
      <c r="F17">
        <v>1.8552149413153529E-4</v>
      </c>
      <c r="G17" t="b">
        <v>1</v>
      </c>
      <c r="H17">
        <v>2000</v>
      </c>
      <c r="I17">
        <v>3250</v>
      </c>
      <c r="J17">
        <v>0.54987722635269165</v>
      </c>
      <c r="K17">
        <v>0.30236497521400452</v>
      </c>
      <c r="L17">
        <v>3.8882191557403842E-3</v>
      </c>
      <c r="M17">
        <v>7.7764382585883141E-3</v>
      </c>
      <c r="N17">
        <v>5.7589304730569779E-3</v>
      </c>
      <c r="O17">
        <v>394011.02694328671</v>
      </c>
      <c r="P17">
        <v>120</v>
      </c>
      <c r="Q17">
        <v>20000</v>
      </c>
      <c r="R17" t="b">
        <v>1</v>
      </c>
      <c r="S17">
        <f t="shared" si="1"/>
        <v>1.3696074133874692</v>
      </c>
    </row>
    <row r="18" spans="1:19" x14ac:dyDescent="0.25">
      <c r="A18">
        <v>17</v>
      </c>
      <c r="B18">
        <v>0.47202271129371798</v>
      </c>
      <c r="C18">
        <v>2134.518798828125</v>
      </c>
      <c r="D18">
        <v>0.47369569540023798</v>
      </c>
      <c r="E18">
        <f t="shared" si="0"/>
        <v>2.7988758206685343E-6</v>
      </c>
      <c r="F18">
        <v>2.288785035489127E-4</v>
      </c>
      <c r="G18" t="b">
        <v>1</v>
      </c>
      <c r="H18">
        <v>2000</v>
      </c>
      <c r="I18">
        <v>3250</v>
      </c>
      <c r="J18">
        <v>0.54985135793685913</v>
      </c>
      <c r="K18">
        <v>0.30233651399612432</v>
      </c>
      <c r="L18">
        <v>3.8880362384178472E-3</v>
      </c>
      <c r="M18">
        <v>7.7760722488164902E-3</v>
      </c>
      <c r="N18">
        <v>1.672984106520059E-3</v>
      </c>
      <c r="O18">
        <v>253433.07240539431</v>
      </c>
      <c r="P18">
        <v>120</v>
      </c>
      <c r="Q18">
        <v>20000</v>
      </c>
      <c r="R18" t="b">
        <v>1</v>
      </c>
      <c r="S18">
        <f t="shared" si="1"/>
        <v>0.35442873118006352</v>
      </c>
    </row>
    <row r="19" spans="1:19" x14ac:dyDescent="0.25">
      <c r="A19">
        <v>18</v>
      </c>
      <c r="B19">
        <v>0.52923824204825332</v>
      </c>
      <c r="C19">
        <v>1887.880981445312</v>
      </c>
      <c r="D19">
        <v>0.52636730670928955</v>
      </c>
      <c r="E19">
        <f t="shared" si="0"/>
        <v>8.242269720510988E-6</v>
      </c>
      <c r="F19">
        <v>2.7226036763750022E-4</v>
      </c>
      <c r="G19" t="b">
        <v>1</v>
      </c>
      <c r="H19">
        <v>1775</v>
      </c>
      <c r="I19">
        <v>1925</v>
      </c>
      <c r="J19">
        <v>0.54893946647644043</v>
      </c>
      <c r="K19">
        <v>0.30133455991745001</v>
      </c>
      <c r="L19">
        <v>3.881588192064165E-3</v>
      </c>
      <c r="M19">
        <v>7.7631762251257896E-3</v>
      </c>
      <c r="N19">
        <v>2.8709353389637648E-3</v>
      </c>
      <c r="O19">
        <v>264805.65005861939</v>
      </c>
      <c r="P19">
        <v>100</v>
      </c>
      <c r="Q19">
        <v>20000</v>
      </c>
      <c r="R19" t="b">
        <v>1</v>
      </c>
      <c r="S19">
        <f t="shared" si="1"/>
        <v>0.54246558749282658</v>
      </c>
    </row>
    <row r="20" spans="1:19" x14ac:dyDescent="0.25">
      <c r="A20">
        <v>19</v>
      </c>
      <c r="B20">
        <v>0.59258714857726547</v>
      </c>
      <c r="C20">
        <v>1678.790771484375</v>
      </c>
      <c r="D20">
        <v>0.59066981077194214</v>
      </c>
      <c r="E20">
        <f t="shared" si="0"/>
        <v>3.6761842597220721E-6</v>
      </c>
      <c r="F20">
        <v>4.1176131344400352E-4</v>
      </c>
      <c r="G20" t="b">
        <v>1</v>
      </c>
      <c r="H20">
        <v>1675</v>
      </c>
      <c r="I20">
        <v>1825</v>
      </c>
      <c r="J20">
        <v>0.54675513505935669</v>
      </c>
      <c r="K20">
        <v>0.29894119501113892</v>
      </c>
      <c r="L20">
        <v>3.8661426364903781E-3</v>
      </c>
      <c r="M20">
        <v>7.7322851866483688E-3</v>
      </c>
      <c r="N20">
        <v>1.917337805323327E-3</v>
      </c>
      <c r="O20">
        <v>139657.45136251021</v>
      </c>
      <c r="P20">
        <v>100</v>
      </c>
      <c r="Q20">
        <v>20000</v>
      </c>
      <c r="R20" t="b">
        <v>1</v>
      </c>
      <c r="S20">
        <f t="shared" si="1"/>
        <v>0.32355372706388208</v>
      </c>
    </row>
    <row r="21" spans="1:19" x14ac:dyDescent="0.25">
      <c r="A21">
        <v>20</v>
      </c>
      <c r="B21">
        <v>0.66252549753599888</v>
      </c>
      <c r="C21">
        <v>1491.0595703125</v>
      </c>
      <c r="D21">
        <v>0.66252553462982178</v>
      </c>
      <c r="E21">
        <f t="shared" si="0"/>
        <v>1.3759516974982108E-15</v>
      </c>
      <c r="F21">
        <v>4.2105832835659379E-4</v>
      </c>
      <c r="G21" t="b">
        <v>1</v>
      </c>
      <c r="H21">
        <v>1475</v>
      </c>
      <c r="I21">
        <v>1625</v>
      </c>
      <c r="J21">
        <v>0.54694944620132446</v>
      </c>
      <c r="K21">
        <v>0.29915368556976318</v>
      </c>
      <c r="L21">
        <v>3.8675166237518328E-3</v>
      </c>
      <c r="M21">
        <v>7.7350330539047718E-3</v>
      </c>
      <c r="N21">
        <v>3.7093822902178892E-8</v>
      </c>
      <c r="O21">
        <v>69927.278854158067</v>
      </c>
      <c r="P21">
        <v>120</v>
      </c>
      <c r="Q21">
        <v>20000</v>
      </c>
      <c r="R21" t="b">
        <v>1</v>
      </c>
      <c r="S21">
        <f t="shared" si="1"/>
        <v>5.5988521257120927E-6</v>
      </c>
    </row>
    <row r="22" spans="1:19" x14ac:dyDescent="0.25">
      <c r="A22">
        <v>21</v>
      </c>
      <c r="B22">
        <v>0.73949311311490629</v>
      </c>
      <c r="C22">
        <v>1333.917724609375</v>
      </c>
      <c r="D22">
        <v>0.73877692222595215</v>
      </c>
      <c r="E22">
        <f t="shared" si="0"/>
        <v>5.1292938942091839E-7</v>
      </c>
      <c r="F22">
        <v>5.3884275257587433E-4</v>
      </c>
      <c r="G22" t="b">
        <v>1</v>
      </c>
      <c r="H22">
        <v>1275</v>
      </c>
      <c r="I22">
        <v>1425</v>
      </c>
      <c r="J22">
        <v>0.54701131582260132</v>
      </c>
      <c r="K22">
        <v>0.29922136664390558</v>
      </c>
      <c r="L22">
        <v>3.8679541080393759E-3</v>
      </c>
      <c r="M22">
        <v>7.735908031463623E-3</v>
      </c>
      <c r="N22">
        <v>7.1619088895413796E-4</v>
      </c>
      <c r="O22">
        <v>43859.509522852939</v>
      </c>
      <c r="P22">
        <v>120</v>
      </c>
      <c r="Q22">
        <v>20000</v>
      </c>
      <c r="R22" t="b">
        <v>1</v>
      </c>
      <c r="S22">
        <f t="shared" si="1"/>
        <v>9.6848892336182241E-2</v>
      </c>
    </row>
    <row r="23" spans="1:19" x14ac:dyDescent="0.25">
      <c r="A23">
        <v>22</v>
      </c>
      <c r="B23">
        <v>0.82389884146739789</v>
      </c>
      <c r="C23">
        <v>1194.685791015625</v>
      </c>
      <c r="D23">
        <v>0.8248019814491272</v>
      </c>
      <c r="E23">
        <f t="shared" si="0"/>
        <v>8.156618265980115E-7</v>
      </c>
      <c r="F23">
        <v>6.5232557244598866E-4</v>
      </c>
      <c r="G23" t="b">
        <v>1</v>
      </c>
      <c r="H23">
        <v>1175</v>
      </c>
      <c r="I23">
        <v>1325</v>
      </c>
      <c r="J23">
        <v>0.55029153823852539</v>
      </c>
      <c r="K23">
        <v>0.30282080173492432</v>
      </c>
      <c r="L23">
        <v>3.8911487831803761E-3</v>
      </c>
      <c r="M23">
        <v>7.7822976745665073E-3</v>
      </c>
      <c r="N23">
        <v>9.0313998172930621E-4</v>
      </c>
      <c r="O23">
        <v>29186.4917767765</v>
      </c>
      <c r="P23">
        <v>120</v>
      </c>
      <c r="Q23">
        <v>20000</v>
      </c>
      <c r="R23" t="b">
        <v>1</v>
      </c>
      <c r="S23">
        <f t="shared" si="1"/>
        <v>0.10961782396984278</v>
      </c>
    </row>
    <row r="24" spans="1:19" x14ac:dyDescent="0.25">
      <c r="A24">
        <v>23</v>
      </c>
      <c r="B24">
        <v>0.91610319604160129</v>
      </c>
      <c r="C24">
        <v>1072.037353515625</v>
      </c>
      <c r="D24">
        <v>0.92241066694259644</v>
      </c>
      <c r="E24">
        <f t="shared" si="0"/>
        <v>3.9784189166900559E-5</v>
      </c>
      <c r="F24">
        <v>8.9104153448715806E-4</v>
      </c>
      <c r="G24" t="b">
        <v>1</v>
      </c>
      <c r="H24">
        <v>1000</v>
      </c>
      <c r="I24">
        <v>1125</v>
      </c>
      <c r="J24">
        <v>0.54445266723632813</v>
      </c>
      <c r="K24">
        <v>0.29642868041992188</v>
      </c>
      <c r="L24">
        <v>3.849861730379104E-3</v>
      </c>
      <c r="M24">
        <v>7.6997233554720879E-3</v>
      </c>
      <c r="N24">
        <v>6.3074709009951491E-3</v>
      </c>
      <c r="O24">
        <v>17282.53078682096</v>
      </c>
      <c r="P24">
        <v>120</v>
      </c>
      <c r="Q24">
        <v>20000</v>
      </c>
      <c r="R24" t="b">
        <v>1</v>
      </c>
      <c r="S24">
        <f t="shared" si="1"/>
        <v>0.68851095905452109</v>
      </c>
    </row>
    <row r="25" spans="1:19" x14ac:dyDescent="0.25">
      <c r="A25">
        <v>24</v>
      </c>
      <c r="B25">
        <v>1.0163985453103981</v>
      </c>
      <c r="C25">
        <v>963.1207275390625</v>
      </c>
      <c r="D25">
        <v>1.0130019187927251</v>
      </c>
      <c r="E25">
        <f t="shared" si="0"/>
        <v>1.153707170055961E-5</v>
      </c>
      <c r="F25">
        <v>1.132820965722203E-3</v>
      </c>
      <c r="G25" t="b">
        <v>1</v>
      </c>
      <c r="H25">
        <v>875</v>
      </c>
      <c r="I25">
        <v>1000</v>
      </c>
      <c r="J25">
        <v>0.54170781373977661</v>
      </c>
      <c r="K25">
        <v>0.29344737529754639</v>
      </c>
      <c r="L25">
        <v>3.8304526851713531E-3</v>
      </c>
      <c r="M25">
        <v>7.6609053649008274E-3</v>
      </c>
      <c r="N25">
        <v>3.3966265176734729E-3</v>
      </c>
      <c r="O25">
        <v>11043.449167192961</v>
      </c>
      <c r="P25">
        <v>120</v>
      </c>
      <c r="Q25">
        <v>20000</v>
      </c>
      <c r="R25" t="b">
        <v>1</v>
      </c>
      <c r="S25">
        <f t="shared" si="1"/>
        <v>0.33418254417475352</v>
      </c>
    </row>
    <row r="26" spans="1:19" x14ac:dyDescent="0.25">
      <c r="A26">
        <v>25</v>
      </c>
      <c r="B26">
        <v>1.1249872354644439</v>
      </c>
      <c r="C26">
        <v>869.05377197265625</v>
      </c>
      <c r="D26">
        <v>1.123741030693054</v>
      </c>
      <c r="E26">
        <f t="shared" si="0"/>
        <v>1.553026332235015E-6</v>
      </c>
      <c r="F26">
        <v>1.241189893335104E-3</v>
      </c>
      <c r="G26" t="b">
        <v>1</v>
      </c>
      <c r="H26">
        <v>775</v>
      </c>
      <c r="I26">
        <v>925</v>
      </c>
      <c r="J26">
        <v>0.53987449407577515</v>
      </c>
      <c r="K26">
        <v>0.29146444797515869</v>
      </c>
      <c r="L26">
        <v>3.817489157506372E-3</v>
      </c>
      <c r="M26">
        <v>7.6349782757461071E-3</v>
      </c>
      <c r="N26">
        <v>1.2462047713899249E-3</v>
      </c>
      <c r="O26">
        <v>6581.8904722017478</v>
      </c>
      <c r="P26">
        <v>130</v>
      </c>
      <c r="Q26">
        <v>20000</v>
      </c>
      <c r="R26" t="b">
        <v>1</v>
      </c>
      <c r="S26">
        <f t="shared" si="1"/>
        <v>0.11077501433831266</v>
      </c>
    </row>
    <row r="27" spans="1:19" x14ac:dyDescent="0.25">
      <c r="A27">
        <v>26</v>
      </c>
      <c r="B27">
        <v>1.2419583172375741</v>
      </c>
      <c r="C27">
        <v>786.5404052734375</v>
      </c>
      <c r="D27">
        <v>1.242001533508301</v>
      </c>
      <c r="E27">
        <f t="shared" si="0"/>
        <v>1.867646055540535E-9</v>
      </c>
      <c r="F27">
        <v>1.6366974450647831E-3</v>
      </c>
      <c r="G27" t="b">
        <v>1</v>
      </c>
      <c r="H27">
        <v>675</v>
      </c>
      <c r="I27">
        <v>825</v>
      </c>
      <c r="J27">
        <v>0.54871600866317749</v>
      </c>
      <c r="K27">
        <v>0.30108925700187678</v>
      </c>
      <c r="L27">
        <v>3.8800081067134921E-3</v>
      </c>
      <c r="M27">
        <v>7.7600162476301193E-3</v>
      </c>
      <c r="N27">
        <v>4.3216270726897932E-5</v>
      </c>
      <c r="O27">
        <v>4095.449982326561</v>
      </c>
      <c r="P27">
        <v>130</v>
      </c>
      <c r="Q27">
        <v>20000</v>
      </c>
      <c r="R27" t="b">
        <v>1</v>
      </c>
      <c r="S27">
        <f t="shared" si="1"/>
        <v>3.4796876937884459E-3</v>
      </c>
    </row>
    <row r="28" spans="1:19" x14ac:dyDescent="0.25">
      <c r="A28">
        <v>27</v>
      </c>
      <c r="B28">
        <v>1.3672638517295399</v>
      </c>
      <c r="C28">
        <v>714.41259765625</v>
      </c>
      <c r="D28">
        <v>1.368261575698853</v>
      </c>
      <c r="E28">
        <f t="shared" si="0"/>
        <v>9.9545311894184814E-7</v>
      </c>
      <c r="F28">
        <v>1.888558035716414E-3</v>
      </c>
      <c r="G28" t="b">
        <v>1</v>
      </c>
      <c r="H28">
        <v>675</v>
      </c>
      <c r="I28">
        <v>825</v>
      </c>
      <c r="J28">
        <v>0.53980171680450439</v>
      </c>
      <c r="K28">
        <v>0.29138591885566711</v>
      </c>
      <c r="L28">
        <v>3.8169745444860538E-3</v>
      </c>
      <c r="M28">
        <v>7.633949164301157E-3</v>
      </c>
      <c r="N28">
        <v>9.9772396931308016E-4</v>
      </c>
      <c r="O28">
        <v>2928.525918896622</v>
      </c>
      <c r="P28">
        <v>130</v>
      </c>
      <c r="Q28">
        <v>20000</v>
      </c>
      <c r="R28" t="b">
        <v>1</v>
      </c>
      <c r="S28">
        <f t="shared" si="1"/>
        <v>7.2972306555972713E-2</v>
      </c>
    </row>
    <row r="29" spans="1:19" x14ac:dyDescent="0.25">
      <c r="A29">
        <v>28</v>
      </c>
      <c r="B29">
        <v>1.500696076675252</v>
      </c>
      <c r="C29">
        <v>651.10205078125</v>
      </c>
      <c r="D29">
        <v>1.5002703666687009</v>
      </c>
      <c r="E29">
        <f t="shared" si="0"/>
        <v>1.8122900967765719E-7</v>
      </c>
      <c r="F29">
        <v>2.2003364283591509E-3</v>
      </c>
      <c r="G29" t="b">
        <v>1</v>
      </c>
      <c r="H29">
        <v>575</v>
      </c>
      <c r="I29">
        <v>725</v>
      </c>
      <c r="J29">
        <v>0.53850346803665161</v>
      </c>
      <c r="K29">
        <v>0.28998595476150513</v>
      </c>
      <c r="L29">
        <v>3.807794539411896E-3</v>
      </c>
      <c r="M29">
        <v>7.6155890710651866E-3</v>
      </c>
      <c r="N29">
        <v>4.2571000655056151E-4</v>
      </c>
      <c r="O29">
        <v>2086.4572367458418</v>
      </c>
      <c r="P29">
        <v>130</v>
      </c>
      <c r="Q29">
        <v>20000</v>
      </c>
      <c r="R29" t="b">
        <v>1</v>
      </c>
      <c r="S29">
        <f t="shared" si="1"/>
        <v>2.8367503131860618E-2</v>
      </c>
    </row>
    <row r="30" spans="1:19" x14ac:dyDescent="0.25">
      <c r="A30">
        <v>29</v>
      </c>
      <c r="B30">
        <v>1.641866982058007</v>
      </c>
      <c r="C30">
        <v>595.3984375</v>
      </c>
      <c r="D30">
        <v>1.6453398466110229</v>
      </c>
      <c r="E30">
        <f t="shared" si="0"/>
        <v>1.2060788203594927E-5</v>
      </c>
      <c r="F30">
        <v>2.7098171412944789E-3</v>
      </c>
      <c r="G30" t="b">
        <v>1</v>
      </c>
      <c r="H30">
        <v>475</v>
      </c>
      <c r="I30">
        <v>625</v>
      </c>
      <c r="J30">
        <v>0.53746223449707031</v>
      </c>
      <c r="K30">
        <v>0.28886568546295172</v>
      </c>
      <c r="L30">
        <v>3.800431906445528E-3</v>
      </c>
      <c r="M30">
        <v>7.6008639298379421E-3</v>
      </c>
      <c r="N30">
        <v>3.4728645530159863E-3</v>
      </c>
      <c r="O30">
        <v>1415.364006326673</v>
      </c>
      <c r="P30">
        <v>130</v>
      </c>
      <c r="Q30">
        <v>20000</v>
      </c>
      <c r="R30" t="b">
        <v>1</v>
      </c>
      <c r="S30">
        <f t="shared" si="1"/>
        <v>0.21151923943697956</v>
      </c>
    </row>
    <row r="31" spans="1:19" x14ac:dyDescent="0.25">
      <c r="A31">
        <v>30</v>
      </c>
      <c r="B31">
        <v>1.7901920231041131</v>
      </c>
      <c r="C31">
        <v>546.5574951171875</v>
      </c>
      <c r="D31">
        <v>1.7935007810592649</v>
      </c>
      <c r="E31">
        <f t="shared" si="0"/>
        <v>1.0947879205780598E-5</v>
      </c>
      <c r="F31">
        <v>3.2354868017137051E-3</v>
      </c>
      <c r="G31" t="b">
        <v>1</v>
      </c>
      <c r="H31">
        <v>475</v>
      </c>
      <c r="I31">
        <v>625</v>
      </c>
      <c r="J31">
        <v>0.53987753391265869</v>
      </c>
      <c r="K31">
        <v>0.29146775603294373</v>
      </c>
      <c r="L31">
        <v>3.8175106523991118E-3</v>
      </c>
      <c r="M31">
        <v>7.6350211165845394E-3</v>
      </c>
      <c r="N31">
        <v>3.308757955151842E-3</v>
      </c>
      <c r="O31">
        <v>1246.3936174374251</v>
      </c>
      <c r="P31">
        <v>120</v>
      </c>
      <c r="Q31">
        <v>20000</v>
      </c>
      <c r="R31" t="b">
        <v>1</v>
      </c>
      <c r="S31">
        <f t="shared" si="1"/>
        <v>0.18482698573388812</v>
      </c>
    </row>
    <row r="32" spans="1:19" x14ac:dyDescent="0.25">
      <c r="A32">
        <v>31</v>
      </c>
      <c r="B32">
        <v>1.9448797373273861</v>
      </c>
      <c r="C32">
        <v>504.26806640625</v>
      </c>
      <c r="D32">
        <v>1.9463003873825071</v>
      </c>
      <c r="E32">
        <f t="shared" si="0"/>
        <v>2.0182465791154202E-6</v>
      </c>
      <c r="F32">
        <v>3.776942146942019E-3</v>
      </c>
      <c r="G32" t="b">
        <v>1</v>
      </c>
      <c r="H32">
        <v>475</v>
      </c>
      <c r="I32">
        <v>625</v>
      </c>
      <c r="J32">
        <v>0.54067856073379517</v>
      </c>
      <c r="K32">
        <v>0.29233327507972717</v>
      </c>
      <c r="L32">
        <v>3.8231747673704909E-3</v>
      </c>
      <c r="M32">
        <v>7.6463497243821621E-3</v>
      </c>
      <c r="N32">
        <v>1.4206500551217081E-3</v>
      </c>
      <c r="O32">
        <v>904.62429733466786</v>
      </c>
      <c r="P32">
        <v>120</v>
      </c>
      <c r="Q32">
        <v>20000</v>
      </c>
      <c r="R32" t="b">
        <v>1</v>
      </c>
      <c r="S32">
        <f t="shared" si="1"/>
        <v>7.3045650476771182E-2</v>
      </c>
    </row>
    <row r="33" spans="1:19" x14ac:dyDescent="0.25">
      <c r="A33">
        <v>32</v>
      </c>
      <c r="B33">
        <v>2.104928884729083</v>
      </c>
      <c r="C33">
        <v>466.61209106445313</v>
      </c>
      <c r="D33">
        <v>2.103854656219482</v>
      </c>
      <c r="E33">
        <f t="shared" si="0"/>
        <v>1.1539668908396683E-6</v>
      </c>
      <c r="F33">
        <v>4.4323964975774288E-3</v>
      </c>
      <c r="G33" t="b">
        <v>1</v>
      </c>
      <c r="H33">
        <v>375</v>
      </c>
      <c r="I33">
        <v>525</v>
      </c>
      <c r="J33">
        <v>0.53829467296600342</v>
      </c>
      <c r="K33">
        <v>0.28976118564605707</v>
      </c>
      <c r="L33">
        <v>3.806318135308559E-3</v>
      </c>
      <c r="M33">
        <v>7.6126363128423691E-3</v>
      </c>
      <c r="N33">
        <v>1.074228509601038E-3</v>
      </c>
      <c r="O33">
        <v>658.08292991339147</v>
      </c>
      <c r="P33">
        <v>120</v>
      </c>
      <c r="Q33">
        <v>20000</v>
      </c>
      <c r="R33" t="b">
        <v>1</v>
      </c>
      <c r="S33">
        <f t="shared" si="1"/>
        <v>5.1033957365229358E-2</v>
      </c>
    </row>
    <row r="34" spans="1:19" x14ac:dyDescent="0.25">
      <c r="A34">
        <v>33</v>
      </c>
      <c r="B34">
        <v>2.2691343691356791</v>
      </c>
      <c r="C34">
        <v>433.90231323242188</v>
      </c>
      <c r="D34">
        <v>2.268501996994019</v>
      </c>
      <c r="E34">
        <f t="shared" si="0"/>
        <v>3.998945255478072E-7</v>
      </c>
      <c r="F34">
        <v>5.0777299329638481E-3</v>
      </c>
      <c r="G34" t="b">
        <v>1</v>
      </c>
      <c r="H34">
        <v>375</v>
      </c>
      <c r="I34">
        <v>525</v>
      </c>
      <c r="J34">
        <v>0.53862494230270386</v>
      </c>
      <c r="K34">
        <v>0.2901168167591095</v>
      </c>
      <c r="L34">
        <v>3.8086534921845478E-3</v>
      </c>
      <c r="M34">
        <v>7.6173068955540657E-3</v>
      </c>
      <c r="N34">
        <v>6.3237214166012023E-4</v>
      </c>
      <c r="O34">
        <v>1885.6632454459341</v>
      </c>
      <c r="P34">
        <v>60</v>
      </c>
      <c r="Q34">
        <v>20000</v>
      </c>
      <c r="R34" t="b">
        <v>1</v>
      </c>
      <c r="S34">
        <f t="shared" si="1"/>
        <v>2.7868430810511803E-2</v>
      </c>
    </row>
    <row r="35" spans="1:19" x14ac:dyDescent="0.25">
      <c r="A35">
        <v>34</v>
      </c>
      <c r="B35">
        <v>2.436102626529673</v>
      </c>
      <c r="C35">
        <v>404.86004638671881</v>
      </c>
      <c r="D35">
        <v>2.4397609233856201</v>
      </c>
      <c r="E35">
        <f t="shared" si="0"/>
        <v>1.338313588623241E-5</v>
      </c>
      <c r="F35">
        <v>5.7611754164099693E-3</v>
      </c>
      <c r="G35" t="b">
        <v>1</v>
      </c>
      <c r="H35">
        <v>375</v>
      </c>
      <c r="I35">
        <v>525</v>
      </c>
      <c r="J35">
        <v>0.54821658134460449</v>
      </c>
      <c r="K35">
        <v>0.30054143071174622</v>
      </c>
      <c r="L35">
        <v>3.8764766222767642E-3</v>
      </c>
      <c r="M35">
        <v>7.7529530972242364E-3</v>
      </c>
      <c r="N35">
        <v>3.6582968559466522E-3</v>
      </c>
      <c r="O35">
        <v>1441.955651108341</v>
      </c>
      <c r="P35">
        <v>60</v>
      </c>
      <c r="Q35">
        <v>20000</v>
      </c>
      <c r="R35" t="b">
        <v>1</v>
      </c>
      <c r="S35">
        <f t="shared" si="1"/>
        <v>0.15017006328497925</v>
      </c>
    </row>
    <row r="36" spans="1:19" x14ac:dyDescent="0.25">
      <c r="A36">
        <v>35</v>
      </c>
      <c r="B36">
        <v>2.6042764235395381</v>
      </c>
      <c r="C36">
        <v>379.60751342773438</v>
      </c>
      <c r="D36">
        <v>2.6028010845184331</v>
      </c>
      <c r="E36">
        <f t="shared" si="0"/>
        <v>2.1766252271953018E-6</v>
      </c>
      <c r="F36">
        <v>6.6780243068933487E-3</v>
      </c>
      <c r="G36" t="b">
        <v>1</v>
      </c>
      <c r="H36">
        <v>275</v>
      </c>
      <c r="I36">
        <v>425</v>
      </c>
      <c r="J36">
        <v>0.54927808046340942</v>
      </c>
      <c r="K36">
        <v>0.30170640349388123</v>
      </c>
      <c r="L36">
        <v>3.8839825545280691E-3</v>
      </c>
      <c r="M36">
        <v>7.7679650858044624E-3</v>
      </c>
      <c r="N36">
        <v>1.4753390211050821E-3</v>
      </c>
      <c r="O36">
        <v>1088.508959820696</v>
      </c>
      <c r="P36">
        <v>60</v>
      </c>
      <c r="Q36">
        <v>20000</v>
      </c>
      <c r="R36" t="b">
        <v>1</v>
      </c>
      <c r="S36">
        <f t="shared" si="1"/>
        <v>5.6650630776740339E-2</v>
      </c>
    </row>
    <row r="37" spans="1:19" x14ac:dyDescent="0.25">
      <c r="A37">
        <v>36</v>
      </c>
      <c r="B37">
        <v>2.771968175131601</v>
      </c>
      <c r="C37">
        <v>357.34356689453119</v>
      </c>
      <c r="D37">
        <v>2.774096012115479</v>
      </c>
      <c r="E37">
        <f t="shared" si="0"/>
        <v>4.5276902299589098E-6</v>
      </c>
      <c r="F37">
        <v>7.5398175977170467E-3</v>
      </c>
      <c r="G37" t="b">
        <v>1</v>
      </c>
      <c r="H37">
        <v>275</v>
      </c>
      <c r="I37">
        <v>425</v>
      </c>
      <c r="J37">
        <v>0.55053693056106567</v>
      </c>
      <c r="K37">
        <v>0.30309092998504639</v>
      </c>
      <c r="L37">
        <v>3.892883968933569E-3</v>
      </c>
      <c r="M37">
        <v>7.7857677824795246E-3</v>
      </c>
      <c r="N37">
        <v>2.1278369838779732E-3</v>
      </c>
      <c r="O37">
        <v>850.97508118272538</v>
      </c>
      <c r="P37">
        <v>60</v>
      </c>
      <c r="Q37">
        <v>20000</v>
      </c>
      <c r="R37" t="b">
        <v>1</v>
      </c>
      <c r="S37">
        <f t="shared" si="1"/>
        <v>7.6762677254653286E-2</v>
      </c>
    </row>
    <row r="38" spans="1:19" x14ac:dyDescent="0.25">
      <c r="A38">
        <v>37</v>
      </c>
      <c r="B38">
        <v>2.937400074153079</v>
      </c>
      <c r="C38">
        <v>338.44384765625</v>
      </c>
      <c r="D38">
        <v>2.9404647350311279</v>
      </c>
      <c r="E38">
        <f t="shared" si="0"/>
        <v>9.3921462974435056E-6</v>
      </c>
      <c r="F38">
        <v>8.2908682525157928E-3</v>
      </c>
      <c r="G38" t="b">
        <v>1</v>
      </c>
      <c r="H38">
        <v>275</v>
      </c>
      <c r="I38">
        <v>425</v>
      </c>
      <c r="J38">
        <v>0.56024092435836792</v>
      </c>
      <c r="K38">
        <v>0.31386986374855042</v>
      </c>
      <c r="L38">
        <v>3.9615015671202146E-3</v>
      </c>
      <c r="M38">
        <v>7.9230032861232758E-3</v>
      </c>
      <c r="N38">
        <v>3.0646608780484641E-3</v>
      </c>
      <c r="O38">
        <v>36.134739581451782</v>
      </c>
      <c r="P38">
        <v>60</v>
      </c>
      <c r="Q38">
        <v>20000</v>
      </c>
      <c r="R38" t="b">
        <v>1</v>
      </c>
      <c r="S38">
        <f t="shared" si="1"/>
        <v>0.10433243006341508</v>
      </c>
    </row>
    <row r="39" spans="1:19" x14ac:dyDescent="0.25">
      <c r="A39">
        <v>38</v>
      </c>
      <c r="B39">
        <v>3.0987486480304991</v>
      </c>
      <c r="C39">
        <v>321.81817626953119</v>
      </c>
      <c r="D39">
        <v>3.09555983543396</v>
      </c>
      <c r="E39">
        <f t="shared" si="0"/>
        <v>1.0168525775846671E-5</v>
      </c>
      <c r="F39">
        <v>8.7563665583729744E-3</v>
      </c>
      <c r="G39" t="b">
        <v>1</v>
      </c>
      <c r="H39">
        <v>275</v>
      </c>
      <c r="I39">
        <v>425</v>
      </c>
      <c r="J39">
        <v>0.55584269762039185</v>
      </c>
      <c r="K39">
        <v>0.30896109342575068</v>
      </c>
      <c r="L39">
        <v>3.930401407604027E-3</v>
      </c>
      <c r="M39">
        <v>7.8608030453324318E-3</v>
      </c>
      <c r="N39">
        <v>3.1888125965391367E-3</v>
      </c>
      <c r="O39">
        <v>586.35080806401174</v>
      </c>
      <c r="P39">
        <v>60</v>
      </c>
      <c r="Q39">
        <v>20000</v>
      </c>
      <c r="R39" t="b">
        <v>1</v>
      </c>
      <c r="S39">
        <f t="shared" si="1"/>
        <v>0.10290646188957213</v>
      </c>
    </row>
    <row r="40" spans="1:19" x14ac:dyDescent="0.25">
      <c r="A40">
        <v>39</v>
      </c>
      <c r="B40">
        <v>3.2541909293254512</v>
      </c>
      <c r="C40">
        <v>307.497802734375</v>
      </c>
      <c r="D40">
        <v>3.2546195983886719</v>
      </c>
      <c r="E40">
        <f t="shared" si="0"/>
        <v>1.8375716576251172E-7</v>
      </c>
      <c r="F40">
        <v>9.5292897894978523E-3</v>
      </c>
      <c r="G40" t="b">
        <v>1</v>
      </c>
      <c r="H40">
        <v>287.5</v>
      </c>
      <c r="I40">
        <v>362.5</v>
      </c>
      <c r="J40">
        <v>0.55876147747039795</v>
      </c>
      <c r="K40">
        <v>0.31221437454223627</v>
      </c>
      <c r="L40">
        <v>3.9510402978513263E-3</v>
      </c>
      <c r="M40">
        <v>7.9020801931619644E-3</v>
      </c>
      <c r="N40">
        <v>4.2866906322069909E-4</v>
      </c>
      <c r="O40">
        <v>200.1094119002035</v>
      </c>
      <c r="P40">
        <v>100</v>
      </c>
      <c r="Q40">
        <v>20000</v>
      </c>
      <c r="R40" t="b">
        <v>0</v>
      </c>
      <c r="S40">
        <f t="shared" si="1"/>
        <v>1.3172830744431957E-2</v>
      </c>
    </row>
    <row r="41" spans="1:19" x14ac:dyDescent="0.25">
      <c r="A41">
        <v>40</v>
      </c>
      <c r="B41">
        <v>3.4019493212427241</v>
      </c>
      <c r="C41">
        <v>295.44149780273438</v>
      </c>
      <c r="D41">
        <v>3.4018938541412349</v>
      </c>
      <c r="E41">
        <f t="shared" si="0"/>
        <v>3.0765993476111782E-9</v>
      </c>
      <c r="F41">
        <v>1.076914463192225E-2</v>
      </c>
      <c r="G41" t="b">
        <v>1</v>
      </c>
      <c r="H41">
        <v>237.5</v>
      </c>
      <c r="I41">
        <v>312.5</v>
      </c>
      <c r="J41">
        <v>0.55975854396820068</v>
      </c>
      <c r="K41">
        <v>0.31332963705062872</v>
      </c>
      <c r="L41">
        <v>3.9580906226702288E-3</v>
      </c>
      <c r="M41">
        <v>7.9161813482642174E-3</v>
      </c>
      <c r="N41">
        <v>5.5467101489181658E-5</v>
      </c>
      <c r="O41">
        <v>386.16426949736461</v>
      </c>
      <c r="P41">
        <v>70</v>
      </c>
      <c r="Q41">
        <v>20000</v>
      </c>
      <c r="R41" t="b">
        <v>0</v>
      </c>
      <c r="S41">
        <f t="shared" si="1"/>
        <v>1.6304505520652393E-3</v>
      </c>
    </row>
    <row r="42" spans="1:19" x14ac:dyDescent="0.25">
      <c r="A42">
        <v>41</v>
      </c>
      <c r="B42">
        <v>3.540332478193541</v>
      </c>
      <c r="C42">
        <v>285.37942504882813</v>
      </c>
      <c r="D42">
        <v>3.5418522357940669</v>
      </c>
      <c r="E42">
        <f t="shared" si="0"/>
        <v>2.3096631643562933E-6</v>
      </c>
      <c r="F42">
        <v>1.1191254481673241E-2</v>
      </c>
      <c r="G42" t="b">
        <v>1</v>
      </c>
      <c r="H42">
        <v>237.5</v>
      </c>
      <c r="I42">
        <v>312.5</v>
      </c>
      <c r="J42">
        <v>0.55980002880096436</v>
      </c>
      <c r="K42">
        <v>0.3133760392665863</v>
      </c>
      <c r="L42">
        <v>3.9583839647358652E-3</v>
      </c>
      <c r="M42">
        <v>7.9167680814862251E-3</v>
      </c>
      <c r="N42">
        <v>2.1688224736493567E-4</v>
      </c>
      <c r="O42">
        <v>268.24070534576867</v>
      </c>
      <c r="P42">
        <v>70</v>
      </c>
      <c r="Q42">
        <v>20000</v>
      </c>
      <c r="R42" t="b">
        <v>0</v>
      </c>
      <c r="S42">
        <f t="shared" si="1"/>
        <v>6.1260417969444527E-3</v>
      </c>
    </row>
    <row r="43" spans="1:19" x14ac:dyDescent="0.25">
      <c r="A43">
        <v>42</v>
      </c>
      <c r="B43">
        <v>3.6677700686639909</v>
      </c>
      <c r="C43">
        <v>276.92678833007813</v>
      </c>
      <c r="D43">
        <v>3.670695304870605</v>
      </c>
      <c r="E43">
        <f t="shared" si="0"/>
        <v>8.5570068644861231E-6</v>
      </c>
      <c r="F43">
        <v>1.175930723547935E-2</v>
      </c>
      <c r="G43" t="b">
        <v>1</v>
      </c>
      <c r="H43">
        <v>237.5</v>
      </c>
      <c r="I43">
        <v>312.5</v>
      </c>
      <c r="J43">
        <v>0.56040960550308228</v>
      </c>
      <c r="K43">
        <v>0.31405889987945562</v>
      </c>
      <c r="L43">
        <v>3.9626943229330736E-3</v>
      </c>
      <c r="M43">
        <v>7.925388403236866E-3</v>
      </c>
      <c r="N43">
        <v>6.4984965509538029E-3</v>
      </c>
      <c r="O43">
        <v>238.18624850034689</v>
      </c>
      <c r="P43">
        <v>70</v>
      </c>
      <c r="Q43">
        <v>20000</v>
      </c>
      <c r="R43" t="b">
        <v>0</v>
      </c>
      <c r="S43">
        <f t="shared" si="1"/>
        <v>0.17717840620584274</v>
      </c>
    </row>
    <row r="44" spans="1:19" x14ac:dyDescent="0.25">
      <c r="A44">
        <v>43</v>
      </c>
      <c r="B44">
        <v>3.782840056259261</v>
      </c>
      <c r="C44">
        <v>269.969482421875</v>
      </c>
      <c r="D44">
        <v>3.7893028259277339</v>
      </c>
      <c r="E44">
        <f t="shared" si="0"/>
        <v>4.1767391787733612E-5</v>
      </c>
      <c r="F44">
        <v>1.2099321000278E-2</v>
      </c>
      <c r="G44" t="b">
        <v>1</v>
      </c>
      <c r="H44">
        <v>250</v>
      </c>
      <c r="I44">
        <v>281.25</v>
      </c>
      <c r="J44">
        <v>0.55725699663162231</v>
      </c>
      <c r="K44">
        <v>0.31053537130355829</v>
      </c>
      <c r="L44">
        <v>3.9404020118186918E-3</v>
      </c>
      <c r="M44">
        <v>7.8808041289448738E-3</v>
      </c>
      <c r="N44">
        <v>1.9138286896813741E-3</v>
      </c>
      <c r="O44">
        <v>227.79657611348469</v>
      </c>
      <c r="P44">
        <v>70</v>
      </c>
      <c r="Q44">
        <v>20000</v>
      </c>
      <c r="R44" t="b">
        <v>0</v>
      </c>
      <c r="S44">
        <f t="shared" si="1"/>
        <v>5.0592376659295051E-2</v>
      </c>
    </row>
    <row r="45" spans="1:19" x14ac:dyDescent="0.25">
      <c r="A45">
        <v>44</v>
      </c>
      <c r="B45">
        <v>3.884288006826818</v>
      </c>
      <c r="C45">
        <v>264.39816284179688</v>
      </c>
      <c r="D45">
        <v>3.8793566226959229</v>
      </c>
      <c r="E45">
        <f t="shared" si="0"/>
        <v>2.4318549446444133E-5</v>
      </c>
      <c r="F45">
        <v>1.220888737589121E-2</v>
      </c>
      <c r="G45" t="b">
        <v>1</v>
      </c>
      <c r="H45">
        <v>250</v>
      </c>
      <c r="I45">
        <v>281.25</v>
      </c>
      <c r="J45">
        <v>0.55823439359664917</v>
      </c>
      <c r="K45">
        <v>0.31162562966346741</v>
      </c>
      <c r="L45">
        <v>3.9473132520375081E-3</v>
      </c>
      <c r="M45">
        <v>7.8946268185973167E-3</v>
      </c>
      <c r="N45">
        <v>6.3068290096568447E-4</v>
      </c>
      <c r="O45">
        <v>214.11407350566569</v>
      </c>
      <c r="P45">
        <v>70</v>
      </c>
      <c r="Q45">
        <v>20000</v>
      </c>
      <c r="R45" t="b">
        <v>0</v>
      </c>
      <c r="S45">
        <f t="shared" si="1"/>
        <v>1.6236769772406932E-2</v>
      </c>
    </row>
    <row r="46" spans="1:19" x14ac:dyDescent="0.25">
      <c r="A46">
        <v>45</v>
      </c>
      <c r="B46">
        <v>3.9710387796361699</v>
      </c>
      <c r="C46">
        <v>259.77481079101563</v>
      </c>
      <c r="D46">
        <v>3.9724795818328862</v>
      </c>
      <c r="E46">
        <f t="shared" si="0"/>
        <v>2.0759109700624383E-6</v>
      </c>
      <c r="F46">
        <v>1.242890488356352E-2</v>
      </c>
      <c r="G46" t="b">
        <v>1</v>
      </c>
      <c r="H46">
        <v>250</v>
      </c>
      <c r="I46">
        <v>281.25</v>
      </c>
      <c r="J46">
        <v>0.56026208400726318</v>
      </c>
      <c r="K46">
        <v>0.31389358639717102</v>
      </c>
      <c r="L46">
        <v>3.9616511884324286E-3</v>
      </c>
      <c r="M46">
        <v>7.9233022406697273E-3</v>
      </c>
      <c r="N46">
        <v>5.2387327153935459E-3</v>
      </c>
      <c r="O46">
        <v>1.7214841243503229</v>
      </c>
      <c r="P46">
        <v>70</v>
      </c>
      <c r="Q46">
        <v>20000</v>
      </c>
      <c r="R46" t="b">
        <v>0</v>
      </c>
      <c r="S46">
        <f t="shared" si="1"/>
        <v>0.13192348415881053</v>
      </c>
    </row>
    <row r="47" spans="1:19" x14ac:dyDescent="0.25">
      <c r="A47">
        <v>46</v>
      </c>
      <c r="B47">
        <v>4.0422016787925781</v>
      </c>
      <c r="C47">
        <v>256.16012573242188</v>
      </c>
      <c r="D47">
        <v>4.0410537719726563</v>
      </c>
      <c r="E47">
        <f t="shared" si="0"/>
        <v>1.3176900672230462E-6</v>
      </c>
      <c r="F47">
        <v>1.2485102750360969E-2</v>
      </c>
      <c r="G47" t="b">
        <v>1</v>
      </c>
      <c r="H47">
        <v>250</v>
      </c>
      <c r="I47">
        <v>281.25</v>
      </c>
      <c r="J47">
        <v>0.56421679258346558</v>
      </c>
      <c r="K47">
        <v>0.31834056973457342</v>
      </c>
      <c r="L47">
        <v>3.9896152009509227E-3</v>
      </c>
      <c r="M47">
        <v>7.979230023920536E-3</v>
      </c>
      <c r="N47">
        <v>4.4552568588862579E-4</v>
      </c>
      <c r="O47">
        <v>7.2476845494983699</v>
      </c>
      <c r="P47">
        <v>70</v>
      </c>
      <c r="Q47">
        <v>20000</v>
      </c>
      <c r="R47" t="b">
        <v>0</v>
      </c>
      <c r="S47">
        <f t="shared" si="1"/>
        <v>1.1021856930743399E-2</v>
      </c>
    </row>
    <row r="48" spans="1:19" x14ac:dyDescent="0.25">
      <c r="A48">
        <v>47</v>
      </c>
      <c r="B48">
        <v>4.097070649025869</v>
      </c>
      <c r="C48">
        <v>253.69715881347659</v>
      </c>
      <c r="D48">
        <v>4.1021084785461426</v>
      </c>
      <c r="E48">
        <f t="shared" si="0"/>
        <v>2.5379726275339526E-5</v>
      </c>
      <c r="F48">
        <v>1.2739351019263269E-2</v>
      </c>
      <c r="G48" t="b">
        <v>1</v>
      </c>
      <c r="H48">
        <v>243.75</v>
      </c>
      <c r="I48">
        <v>281.25</v>
      </c>
      <c r="J48">
        <v>0.57192689180374146</v>
      </c>
      <c r="K48">
        <v>0.32710033655166632</v>
      </c>
      <c r="L48">
        <v>4.0441338353737043E-3</v>
      </c>
      <c r="M48">
        <v>8.088267408311367E-3</v>
      </c>
      <c r="N48">
        <v>2.6707375245127452E-4</v>
      </c>
      <c r="O48">
        <v>184.4378025094268</v>
      </c>
      <c r="P48">
        <v>70</v>
      </c>
      <c r="Q48">
        <v>20000</v>
      </c>
      <c r="R48" t="b">
        <v>0</v>
      </c>
      <c r="S48">
        <f t="shared" si="1"/>
        <v>6.5186513811953603E-3</v>
      </c>
    </row>
    <row r="49" spans="1:19" x14ac:dyDescent="0.25">
      <c r="A49">
        <v>48</v>
      </c>
      <c r="B49">
        <v>4.1351213578181021</v>
      </c>
      <c r="C49">
        <v>252.0335693359375</v>
      </c>
      <c r="D49">
        <v>4.1341972351074219</v>
      </c>
      <c r="E49">
        <f t="shared" si="0"/>
        <v>8.5400278439493646E-7</v>
      </c>
      <c r="F49">
        <v>1.27271106466651E-2</v>
      </c>
      <c r="G49" t="b">
        <v>1</v>
      </c>
      <c r="H49">
        <v>243.75</v>
      </c>
      <c r="I49">
        <v>281.25</v>
      </c>
      <c r="J49">
        <v>0.56852781772613525</v>
      </c>
      <c r="K49">
        <v>0.32322388887405401</v>
      </c>
      <c r="L49">
        <v>4.0200987520733972E-3</v>
      </c>
      <c r="M49">
        <v>8.0401971936225891E-3</v>
      </c>
      <c r="N49">
        <v>6.5852441356106795E-4</v>
      </c>
      <c r="O49">
        <v>181.2332213438458</v>
      </c>
      <c r="P49">
        <v>70</v>
      </c>
      <c r="Q49">
        <v>20000</v>
      </c>
      <c r="R49" t="b">
        <v>0</v>
      </c>
      <c r="S49">
        <f t="shared" si="1"/>
        <v>1.5925153256168001E-2</v>
      </c>
    </row>
    <row r="50" spans="1:19" x14ac:dyDescent="0.25">
      <c r="A50">
        <v>49</v>
      </c>
      <c r="B50">
        <v>4.15600701030269</v>
      </c>
      <c r="C50">
        <v>250.99427795410159</v>
      </c>
      <c r="D50">
        <v>4.161799430847168</v>
      </c>
      <c r="E50">
        <f t="shared" si="0"/>
        <v>3.3552135764089973E-5</v>
      </c>
      <c r="F50">
        <v>1.271851267665625E-2</v>
      </c>
      <c r="G50" t="b">
        <v>1</v>
      </c>
      <c r="H50">
        <v>243.75</v>
      </c>
      <c r="I50">
        <v>281.25</v>
      </c>
      <c r="J50">
        <v>0.57330280542373657</v>
      </c>
      <c r="K50">
        <v>0.32867607474327087</v>
      </c>
      <c r="L50">
        <v>4.0538630138839604E-3</v>
      </c>
      <c r="M50">
        <v>8.1077264621853828E-3</v>
      </c>
      <c r="N50">
        <v>2.3625308655228494E-3</v>
      </c>
      <c r="O50">
        <v>179.5375436949052</v>
      </c>
      <c r="P50">
        <v>70</v>
      </c>
      <c r="Q50">
        <v>20000</v>
      </c>
      <c r="R50" t="b">
        <v>0</v>
      </c>
      <c r="S50">
        <f t="shared" si="1"/>
        <v>5.6846171329022414E-2</v>
      </c>
    </row>
    <row r="51" spans="1:19" x14ac:dyDescent="0.25">
      <c r="A51">
        <v>50</v>
      </c>
      <c r="B51">
        <v>4.1595545203155497</v>
      </c>
      <c r="C51">
        <v>250.8698425292969</v>
      </c>
      <c r="D51">
        <v>4.1563525199890137</v>
      </c>
      <c r="E51">
        <f t="shared" si="0"/>
        <v>1.0252806091137026E-5</v>
      </c>
      <c r="F51">
        <v>1.274037826806307E-2</v>
      </c>
      <c r="G51" t="b">
        <v>1</v>
      </c>
      <c r="H51">
        <v>243.75</v>
      </c>
      <c r="I51">
        <v>281.25</v>
      </c>
      <c r="J51">
        <v>0.57071340084075928</v>
      </c>
      <c r="K51">
        <v>0.32571378350257868</v>
      </c>
      <c r="L51">
        <v>4.0355531584853714E-3</v>
      </c>
      <c r="M51">
        <v>8.0711059272289276E-3</v>
      </c>
      <c r="N51">
        <v>1.485386557004809E-3</v>
      </c>
      <c r="O51">
        <v>178.92382938229639</v>
      </c>
      <c r="P51">
        <v>70</v>
      </c>
      <c r="Q51">
        <v>20000</v>
      </c>
      <c r="R51" t="b">
        <v>0</v>
      </c>
      <c r="S51">
        <f t="shared" si="1"/>
        <v>3.5710231702699873E-2</v>
      </c>
    </row>
    <row r="52" spans="1:19" x14ac:dyDescent="0.25">
      <c r="A52">
        <v>51</v>
      </c>
      <c r="B52">
        <v>4.1457622553970923</v>
      </c>
      <c r="C52">
        <v>251.53941345214841</v>
      </c>
      <c r="D52">
        <v>4.1424875259399414</v>
      </c>
      <c r="E52">
        <f t="shared" si="0"/>
        <v>1.0723853017531858E-5</v>
      </c>
      <c r="F52">
        <v>1.293047517538071E-2</v>
      </c>
      <c r="G52" t="b">
        <v>1</v>
      </c>
      <c r="H52">
        <v>243.75</v>
      </c>
      <c r="I52">
        <v>281.25</v>
      </c>
      <c r="J52">
        <v>0.56968891620635986</v>
      </c>
      <c r="K52">
        <v>0.3245454728603363</v>
      </c>
      <c r="L52">
        <v>4.0283089581633191E-3</v>
      </c>
      <c r="M52">
        <v>8.0566182732582092E-3</v>
      </c>
      <c r="N52">
        <v>2.8925200964113884E-4</v>
      </c>
      <c r="O52">
        <v>177.46833628837209</v>
      </c>
      <c r="P52">
        <v>70</v>
      </c>
      <c r="Q52">
        <v>20000</v>
      </c>
      <c r="R52" t="b">
        <v>0</v>
      </c>
      <c r="S52">
        <f t="shared" si="1"/>
        <v>6.9770525134329854E-3</v>
      </c>
    </row>
    <row r="53" spans="1:19" x14ac:dyDescent="0.25">
      <c r="A53">
        <v>52</v>
      </c>
      <c r="B53">
        <v>4.1148000406331944</v>
      </c>
      <c r="C53">
        <v>252.98548889160159</v>
      </c>
      <c r="D53">
        <v>4.1215057373046884</v>
      </c>
      <c r="E53">
        <f t="shared" si="0"/>
        <v>4.4966367850085851E-5</v>
      </c>
      <c r="F53">
        <v>1.295876502990723E-2</v>
      </c>
      <c r="G53" t="b">
        <v>1</v>
      </c>
      <c r="H53">
        <v>243.75</v>
      </c>
      <c r="I53">
        <v>281.25</v>
      </c>
      <c r="J53">
        <v>0.56890952587127686</v>
      </c>
      <c r="K53">
        <v>0.3236580491065979</v>
      </c>
      <c r="L53">
        <v>4.0227978362520336E-3</v>
      </c>
      <c r="M53">
        <v>8.045596070587635E-3</v>
      </c>
      <c r="N53">
        <v>4.2997049398350029E-3</v>
      </c>
      <c r="O53">
        <v>179.75586245188671</v>
      </c>
      <c r="P53">
        <v>70</v>
      </c>
      <c r="Q53">
        <v>20000</v>
      </c>
      <c r="R53" t="b">
        <v>0</v>
      </c>
      <c r="S53">
        <f t="shared" si="1"/>
        <v>0.10449365454884546</v>
      </c>
    </row>
    <row r="54" spans="1:19" x14ac:dyDescent="0.25">
      <c r="A54">
        <v>53</v>
      </c>
      <c r="B54">
        <v>4.067011505252216</v>
      </c>
      <c r="C54">
        <v>254.99934387207031</v>
      </c>
      <c r="D54">
        <v>4.0627474784851074</v>
      </c>
      <c r="E54">
        <f t="shared" si="0"/>
        <v>1.8181924270618406E-5</v>
      </c>
      <c r="F54">
        <v>1.273172348737717E-2</v>
      </c>
      <c r="G54" t="b">
        <v>1</v>
      </c>
      <c r="H54">
        <v>243.75</v>
      </c>
      <c r="I54">
        <v>281.25</v>
      </c>
      <c r="J54">
        <v>0.56720024347305298</v>
      </c>
      <c r="K54">
        <v>0.32171612977981567</v>
      </c>
      <c r="L54">
        <v>4.0107113845045646E-3</v>
      </c>
      <c r="M54">
        <v>8.0214226618409157E-3</v>
      </c>
      <c r="N54">
        <v>9.4047177443279395E-4</v>
      </c>
      <c r="O54">
        <v>187.28636017131859</v>
      </c>
      <c r="P54">
        <v>70</v>
      </c>
      <c r="Q54">
        <v>20000</v>
      </c>
      <c r="R54" t="b">
        <v>0</v>
      </c>
      <c r="S54">
        <f t="shared" si="1"/>
        <v>2.3124394244231933E-2</v>
      </c>
    </row>
    <row r="55" spans="1:19" x14ac:dyDescent="0.25">
      <c r="A55">
        <v>54</v>
      </c>
      <c r="B55">
        <v>4.0029182471614666</v>
      </c>
      <c r="C55">
        <v>258.19088745117188</v>
      </c>
      <c r="D55">
        <v>4.0063467025756836</v>
      </c>
      <c r="E55">
        <f t="shared" si="0"/>
        <v>1.1754306527273798E-5</v>
      </c>
      <c r="F55">
        <v>1.252659130841494E-2</v>
      </c>
      <c r="G55" t="b">
        <v>1</v>
      </c>
      <c r="H55">
        <v>243.75</v>
      </c>
      <c r="I55">
        <v>281.25</v>
      </c>
      <c r="J55">
        <v>0.56848174333572388</v>
      </c>
      <c r="K55">
        <v>0.32317152619361877</v>
      </c>
      <c r="L55">
        <v>4.019772956934408E-3</v>
      </c>
      <c r="M55">
        <v>8.0395461991429329E-3</v>
      </c>
      <c r="N55">
        <v>1.7991028446360251E-3</v>
      </c>
      <c r="O55">
        <v>196.49784867557051</v>
      </c>
      <c r="P55">
        <v>70</v>
      </c>
      <c r="Q55">
        <v>20000</v>
      </c>
      <c r="R55" t="b">
        <v>0</v>
      </c>
      <c r="S55">
        <f t="shared" si="1"/>
        <v>4.4944781120918417E-2</v>
      </c>
    </row>
    <row r="56" spans="1:19" x14ac:dyDescent="0.25">
      <c r="A56">
        <v>55</v>
      </c>
      <c r="B56">
        <v>3.9232247344705549</v>
      </c>
      <c r="C56">
        <v>262.25241088867188</v>
      </c>
      <c r="D56">
        <v>3.9237735271453862</v>
      </c>
      <c r="E56">
        <f t="shared" si="0"/>
        <v>3.0117339994851722E-7</v>
      </c>
      <c r="F56">
        <v>1.2412853538990021E-2</v>
      </c>
      <c r="G56" t="b">
        <v>1</v>
      </c>
      <c r="H56">
        <v>243.75</v>
      </c>
      <c r="I56">
        <v>281.25</v>
      </c>
      <c r="J56">
        <v>0.56167358160018921</v>
      </c>
      <c r="K56">
        <v>0.31547722220420837</v>
      </c>
      <c r="L56">
        <v>3.971631983628294E-3</v>
      </c>
      <c r="M56">
        <v>7.9432642087340355E-3</v>
      </c>
      <c r="N56">
        <v>5.4879267483043392E-4</v>
      </c>
      <c r="O56">
        <v>206.4363373013482</v>
      </c>
      <c r="P56">
        <v>70</v>
      </c>
      <c r="Q56">
        <v>20000</v>
      </c>
      <c r="R56" t="b">
        <v>0</v>
      </c>
      <c r="S56">
        <f t="shared" si="1"/>
        <v>1.3988305844643242E-2</v>
      </c>
    </row>
    <row r="57" spans="1:19" x14ac:dyDescent="0.25">
      <c r="A57">
        <v>56</v>
      </c>
      <c r="B57">
        <v>3.8288224192227061</v>
      </c>
      <c r="C57">
        <v>267.4197998046875</v>
      </c>
      <c r="D57">
        <v>3.828858613967896</v>
      </c>
      <c r="E57">
        <f t="shared" si="0"/>
        <v>1.3100595793617298E-9</v>
      </c>
      <c r="F57">
        <v>1.2247589416801929E-2</v>
      </c>
      <c r="G57" t="b">
        <v>1</v>
      </c>
      <c r="H57">
        <v>243.75</v>
      </c>
      <c r="I57">
        <v>281.25</v>
      </c>
      <c r="J57">
        <v>0.5634920597076416</v>
      </c>
      <c r="K57">
        <v>0.3175233006477356</v>
      </c>
      <c r="L57">
        <v>3.9844905656404826E-3</v>
      </c>
      <c r="M57">
        <v>7.9689808189868927E-3</v>
      </c>
      <c r="N57">
        <v>3.333762112743166E-3</v>
      </c>
      <c r="O57">
        <v>219.66612145933709</v>
      </c>
      <c r="P57">
        <v>70</v>
      </c>
      <c r="Q57">
        <v>20000</v>
      </c>
      <c r="R57" t="b">
        <v>0</v>
      </c>
      <c r="S57">
        <f t="shared" si="1"/>
        <v>8.7070167997500308E-2</v>
      </c>
    </row>
    <row r="58" spans="1:19" x14ac:dyDescent="0.25">
      <c r="A58">
        <v>57</v>
      </c>
      <c r="B58">
        <v>3.72079126374026</v>
      </c>
      <c r="C58">
        <v>273.67919921875</v>
      </c>
      <c r="D58">
        <v>3.7188000679016109</v>
      </c>
      <c r="E58">
        <f t="shared" si="0"/>
        <v>3.9648608678536969E-6</v>
      </c>
      <c r="F58">
        <v>1.1986366473138331E-2</v>
      </c>
      <c r="G58" t="b">
        <v>1</v>
      </c>
      <c r="H58">
        <v>243.75</v>
      </c>
      <c r="I58">
        <v>281.25</v>
      </c>
      <c r="J58">
        <v>0.55222922563552856</v>
      </c>
      <c r="K58">
        <v>0.30495712161064148</v>
      </c>
      <c r="L58">
        <v>3.9048503021627832E-3</v>
      </c>
      <c r="M58">
        <v>7.8097004443407059E-3</v>
      </c>
      <c r="N58">
        <v>1.9911958386491513E-3</v>
      </c>
      <c r="O58">
        <v>241.15485667158779</v>
      </c>
      <c r="P58">
        <v>70</v>
      </c>
      <c r="Q58">
        <v>20000</v>
      </c>
      <c r="R58" t="b">
        <v>0</v>
      </c>
      <c r="S58">
        <f t="shared" si="1"/>
        <v>5.3515386849396565E-2</v>
      </c>
    </row>
    <row r="59" spans="1:19" x14ac:dyDescent="0.25">
      <c r="A59">
        <v>58</v>
      </c>
      <c r="B59">
        <v>3.6003968225698841</v>
      </c>
      <c r="C59">
        <v>281.34915161132813</v>
      </c>
      <c r="D59">
        <v>3.603272676467896</v>
      </c>
      <c r="E59">
        <f t="shared" si="0"/>
        <v>8.2705356427097528E-6</v>
      </c>
      <c r="F59">
        <v>1.15339457988739E-2</v>
      </c>
      <c r="G59" t="b">
        <v>1</v>
      </c>
      <c r="H59">
        <v>237.5</v>
      </c>
      <c r="I59">
        <v>312.5</v>
      </c>
      <c r="J59">
        <v>0.55614835023880005</v>
      </c>
      <c r="K59">
        <v>0.3093009889125824</v>
      </c>
      <c r="L59">
        <v>3.9325626979956653E-3</v>
      </c>
      <c r="M59">
        <v>7.8651253134012222E-3</v>
      </c>
      <c r="N59">
        <v>2.8758538980118153E-3</v>
      </c>
      <c r="O59">
        <v>263.79435852576103</v>
      </c>
      <c r="P59">
        <v>70</v>
      </c>
      <c r="Q59">
        <v>20000</v>
      </c>
      <c r="R59" t="b">
        <v>0</v>
      </c>
      <c r="S59">
        <f t="shared" si="1"/>
        <v>7.9876025886476978E-2</v>
      </c>
    </row>
    <row r="60" spans="1:19" x14ac:dyDescent="0.25">
      <c r="A60">
        <v>59</v>
      </c>
      <c r="B60">
        <v>3.469081214710001</v>
      </c>
      <c r="C60">
        <v>290.4407958984375</v>
      </c>
      <c r="D60">
        <v>3.4685320854187012</v>
      </c>
      <c r="E60">
        <f t="shared" si="0"/>
        <v>3.0154297856341968E-7</v>
      </c>
      <c r="F60">
        <v>1.0762457735836509E-2</v>
      </c>
      <c r="G60" t="b">
        <v>1</v>
      </c>
      <c r="H60">
        <v>268.75</v>
      </c>
      <c r="I60">
        <v>306.25</v>
      </c>
      <c r="J60">
        <v>0.56472533941268921</v>
      </c>
      <c r="K60">
        <v>0.3189147412776947</v>
      </c>
      <c r="L60">
        <v>3.993211170065872E-3</v>
      </c>
      <c r="M60">
        <v>7.9864226281642914E-3</v>
      </c>
      <c r="N60">
        <v>5.4912929129979915E-4</v>
      </c>
      <c r="O60">
        <v>380.63942514661818</v>
      </c>
      <c r="P60">
        <v>60</v>
      </c>
      <c r="Q60">
        <v>20000</v>
      </c>
      <c r="R60" t="b">
        <v>0</v>
      </c>
      <c r="S60">
        <f t="shared" si="1"/>
        <v>1.5829242883427387E-2</v>
      </c>
    </row>
    <row r="61" spans="1:19" x14ac:dyDescent="0.25">
      <c r="A61">
        <v>60</v>
      </c>
      <c r="B61">
        <v>3.328446766773975</v>
      </c>
      <c r="C61">
        <v>301.4334716796875</v>
      </c>
      <c r="D61">
        <v>3.3293106555938721</v>
      </c>
      <c r="E61">
        <f t="shared" si="0"/>
        <v>7.4630389314315915E-7</v>
      </c>
      <c r="F61">
        <v>9.7767766565084457E-3</v>
      </c>
      <c r="G61" t="b">
        <v>1</v>
      </c>
      <c r="H61">
        <v>293.75</v>
      </c>
      <c r="I61">
        <v>331.25</v>
      </c>
      <c r="J61">
        <v>0.56311213970184326</v>
      </c>
      <c r="K61">
        <v>0.3170953094959259</v>
      </c>
      <c r="L61">
        <v>3.9818041255163987E-3</v>
      </c>
      <c r="M61">
        <v>7.963608019053936E-3</v>
      </c>
      <c r="N61">
        <v>8.63888819897074E-4</v>
      </c>
      <c r="O61">
        <v>364.13734732479082</v>
      </c>
      <c r="P61">
        <v>70</v>
      </c>
      <c r="Q61">
        <v>20000</v>
      </c>
      <c r="R61" t="b">
        <v>0</v>
      </c>
      <c r="S61">
        <f t="shared" si="1"/>
        <v>2.5954713427319722E-2</v>
      </c>
    </row>
    <row r="62" spans="1:19" x14ac:dyDescent="0.25">
      <c r="A62">
        <v>61</v>
      </c>
      <c r="B62">
        <v>3.1802317779983489</v>
      </c>
      <c r="C62">
        <v>314.10568237304688</v>
      </c>
      <c r="D62">
        <v>3.181837797164917</v>
      </c>
      <c r="E62">
        <f t="shared" si="0"/>
        <v>2.5792975633841161E-6</v>
      </c>
      <c r="F62">
        <v>9.2242155224084854E-3</v>
      </c>
      <c r="G62" t="b">
        <v>1</v>
      </c>
      <c r="H62">
        <v>287.5</v>
      </c>
      <c r="I62">
        <v>362.5</v>
      </c>
      <c r="J62">
        <v>0.55942076444625854</v>
      </c>
      <c r="K62">
        <v>0.31295162439346308</v>
      </c>
      <c r="L62">
        <v>3.9557021607651167E-3</v>
      </c>
      <c r="M62">
        <v>7.9114045947790146E-3</v>
      </c>
      <c r="N62">
        <v>1.6060191665676631E-3</v>
      </c>
      <c r="O62">
        <v>422.76318571851141</v>
      </c>
      <c r="P62">
        <v>70</v>
      </c>
      <c r="Q62">
        <v>20000</v>
      </c>
      <c r="R62" t="b">
        <v>0</v>
      </c>
      <c r="S62">
        <f t="shared" si="1"/>
        <v>5.0500066620254268E-2</v>
      </c>
    </row>
    <row r="63" spans="1:19" x14ac:dyDescent="0.25">
      <c r="A63">
        <v>62</v>
      </c>
      <c r="B63">
        <v>3.0262786837990991</v>
      </c>
      <c r="C63">
        <v>328.86175537109381</v>
      </c>
      <c r="D63">
        <v>3.0251514911651598</v>
      </c>
      <c r="E63">
        <f t="shared" si="0"/>
        <v>1.2705632340071172E-6</v>
      </c>
      <c r="F63">
        <v>8.8695427402853966E-3</v>
      </c>
      <c r="G63" t="b">
        <v>1</v>
      </c>
      <c r="H63">
        <v>287.5</v>
      </c>
      <c r="I63">
        <v>362.5</v>
      </c>
      <c r="J63">
        <v>0.55888545513153076</v>
      </c>
      <c r="K63">
        <v>0.31235295534133911</v>
      </c>
      <c r="L63">
        <v>3.9519169523003529E-3</v>
      </c>
      <c r="M63">
        <v>7.9038338735699654E-3</v>
      </c>
      <c r="N63">
        <v>1.1271926339393445E-3</v>
      </c>
      <c r="O63">
        <v>485.54007470391292</v>
      </c>
      <c r="P63">
        <v>70</v>
      </c>
      <c r="Q63">
        <v>20000</v>
      </c>
      <c r="R63" t="b">
        <v>0</v>
      </c>
      <c r="S63">
        <f t="shared" si="1"/>
        <v>3.7246821978876743E-2</v>
      </c>
    </row>
    <row r="64" spans="1:19" x14ac:dyDescent="0.25">
      <c r="A64">
        <v>63</v>
      </c>
      <c r="B64">
        <v>2.8684957729033602</v>
      </c>
      <c r="C64">
        <v>345.71453857421881</v>
      </c>
      <c r="D64">
        <v>2.8730683326721191</v>
      </c>
      <c r="E64">
        <f t="shared" si="0"/>
        <v>2.0908302838872642E-5</v>
      </c>
      <c r="F64">
        <v>8.0108987167477608E-3</v>
      </c>
      <c r="G64" t="b">
        <v>1</v>
      </c>
      <c r="H64">
        <v>287.5</v>
      </c>
      <c r="I64">
        <v>362.5</v>
      </c>
      <c r="J64">
        <v>0.55314689874649048</v>
      </c>
      <c r="K64">
        <v>0.30597147345542908</v>
      </c>
      <c r="L64">
        <v>3.9113392309595204E-3</v>
      </c>
      <c r="M64">
        <v>7.8226784244179726E-3</v>
      </c>
      <c r="N64">
        <v>4.5725597687589215E-3</v>
      </c>
      <c r="O64">
        <v>598.34887648509323</v>
      </c>
      <c r="P64">
        <v>70</v>
      </c>
      <c r="Q64">
        <v>20000</v>
      </c>
      <c r="R64" t="b">
        <v>0</v>
      </c>
      <c r="S64">
        <f t="shared" si="1"/>
        <v>0.15940618814755253</v>
      </c>
    </row>
    <row r="65" spans="1:19" x14ac:dyDescent="0.25">
      <c r="A65">
        <v>64</v>
      </c>
      <c r="B65">
        <v>2.708814420507546</v>
      </c>
      <c r="C65">
        <v>365.6883544921875</v>
      </c>
      <c r="D65">
        <v>2.7025988101959229</v>
      </c>
      <c r="E65">
        <f t="shared" si="0"/>
        <v>3.8633811545955397E-5</v>
      </c>
      <c r="F65">
        <v>7.1754790842533112E-3</v>
      </c>
      <c r="G65" t="b">
        <v>1</v>
      </c>
      <c r="H65">
        <v>337.5</v>
      </c>
      <c r="I65">
        <v>412.5</v>
      </c>
      <c r="J65">
        <v>0.55504179000854492</v>
      </c>
      <c r="K65">
        <v>0.30807137489318848</v>
      </c>
      <c r="L65">
        <v>3.9247381355696194E-3</v>
      </c>
      <c r="M65">
        <v>7.8494763001799583E-3</v>
      </c>
      <c r="N65">
        <v>6.2156103116230987E-3</v>
      </c>
      <c r="O65">
        <v>749.09127881087397</v>
      </c>
      <c r="P65">
        <v>70</v>
      </c>
      <c r="Q65">
        <v>20000</v>
      </c>
      <c r="R65" t="b">
        <v>0</v>
      </c>
      <c r="S65">
        <f t="shared" si="1"/>
        <v>0.22945869840941302</v>
      </c>
    </row>
    <row r="66" spans="1:19" x14ac:dyDescent="0.25">
      <c r="A66">
        <v>65</v>
      </c>
      <c r="B66">
        <v>2.5491444140341089</v>
      </c>
      <c r="C66">
        <v>387.21563720703119</v>
      </c>
      <c r="D66">
        <v>2.5520672798156738</v>
      </c>
      <c r="E66">
        <f t="shared" si="0"/>
        <v>8.5431443770434383E-6</v>
      </c>
      <c r="F66">
        <v>6.4726513810455799E-3</v>
      </c>
      <c r="G66" t="b">
        <v>1</v>
      </c>
      <c r="H66">
        <v>337.5</v>
      </c>
      <c r="I66">
        <v>412.5</v>
      </c>
      <c r="J66">
        <v>0.54844218492507935</v>
      </c>
      <c r="K66">
        <v>0.30078881978988647</v>
      </c>
      <c r="L66">
        <v>3.8780718804929011E-3</v>
      </c>
      <c r="M66">
        <v>7.7561438083648682E-3</v>
      </c>
      <c r="N66">
        <v>2.922865781564532E-3</v>
      </c>
      <c r="O66">
        <v>937.7197287256713</v>
      </c>
      <c r="P66">
        <v>70</v>
      </c>
      <c r="Q66">
        <v>20000</v>
      </c>
      <c r="R66" t="b">
        <v>0</v>
      </c>
      <c r="S66">
        <f t="shared" si="1"/>
        <v>0.11466065890472625</v>
      </c>
    </row>
    <row r="67" spans="1:19" x14ac:dyDescent="0.25">
      <c r="A67">
        <v>66</v>
      </c>
      <c r="B67">
        <v>2.3913302718645761</v>
      </c>
      <c r="C67">
        <v>412.17422485351563</v>
      </c>
      <c r="D67">
        <v>2.3920919895172119</v>
      </c>
      <c r="E67">
        <f t="shared" ref="E67:E102" si="2">(B67-D67)^2</f>
        <v>5.802137823369534E-7</v>
      </c>
      <c r="F67">
        <v>5.6412206031382084E-3</v>
      </c>
      <c r="G67" t="b">
        <v>1</v>
      </c>
      <c r="H67">
        <v>387.5</v>
      </c>
      <c r="I67">
        <v>462.5</v>
      </c>
      <c r="J67">
        <v>0.54330539703369141</v>
      </c>
      <c r="K67">
        <v>0.29518076777458191</v>
      </c>
      <c r="L67">
        <v>3.8417493049777269E-3</v>
      </c>
      <c r="M67">
        <v>7.6834987848997116E-3</v>
      </c>
      <c r="N67">
        <v>7.6171765263621793E-4</v>
      </c>
      <c r="O67">
        <v>1222.6212578089151</v>
      </c>
      <c r="P67">
        <v>70</v>
      </c>
      <c r="Q67">
        <v>20000</v>
      </c>
      <c r="R67" t="b">
        <v>0</v>
      </c>
      <c r="S67">
        <f t="shared" ref="S67:S102" si="3">(N67/B67)*100</f>
        <v>3.1853301971638104E-2</v>
      </c>
    </row>
    <row r="68" spans="1:19" x14ac:dyDescent="0.25">
      <c r="A68">
        <v>67</v>
      </c>
      <c r="B68">
        <v>2.237111438067684</v>
      </c>
      <c r="C68">
        <v>439.60955810546881</v>
      </c>
      <c r="D68">
        <v>2.2350010871887211</v>
      </c>
      <c r="E68">
        <f t="shared" si="2"/>
        <v>4.4535808323391892E-6</v>
      </c>
      <c r="F68">
        <v>4.909150768071413E-3</v>
      </c>
      <c r="G68" t="b">
        <v>1</v>
      </c>
      <c r="H68">
        <v>387.5</v>
      </c>
      <c r="I68">
        <v>462.5</v>
      </c>
      <c r="J68">
        <v>0.54306560754776001</v>
      </c>
      <c r="K68">
        <v>0.29492026567459112</v>
      </c>
      <c r="L68">
        <v>3.8400537372621341E-3</v>
      </c>
      <c r="M68">
        <v>7.6801073737442493E-3</v>
      </c>
      <c r="N68">
        <v>2.1103508789632741E-3</v>
      </c>
      <c r="O68">
        <v>1605.3234229548329</v>
      </c>
      <c r="P68">
        <v>70</v>
      </c>
      <c r="Q68">
        <v>20000</v>
      </c>
      <c r="R68" t="b">
        <v>0</v>
      </c>
      <c r="S68">
        <f t="shared" si="3"/>
        <v>9.4333739618536847E-2</v>
      </c>
    </row>
    <row r="69" spans="1:19" x14ac:dyDescent="0.25">
      <c r="A69">
        <v>68</v>
      </c>
      <c r="B69">
        <v>2.0880888840362379</v>
      </c>
      <c r="C69">
        <v>470.37222290039063</v>
      </c>
      <c r="D69">
        <v>2.0926554203033452</v>
      </c>
      <c r="E69">
        <f t="shared" si="2"/>
        <v>2.0853253478805682E-5</v>
      </c>
      <c r="F69">
        <v>4.2354296892881393E-3</v>
      </c>
      <c r="G69" t="b">
        <v>1</v>
      </c>
      <c r="H69">
        <v>437.5</v>
      </c>
      <c r="I69">
        <v>512.5</v>
      </c>
      <c r="J69">
        <v>0.54389458894729614</v>
      </c>
      <c r="K69">
        <v>0.29582133889198298</v>
      </c>
      <c r="L69">
        <v>3.8459155209530291E-3</v>
      </c>
      <c r="M69">
        <v>7.691830862313509E-3</v>
      </c>
      <c r="N69">
        <v>4.5665362671072351E-3</v>
      </c>
      <c r="O69">
        <v>2135.741614379609</v>
      </c>
      <c r="P69">
        <v>70</v>
      </c>
      <c r="Q69">
        <v>20000</v>
      </c>
      <c r="R69" t="b">
        <v>1</v>
      </c>
      <c r="S69">
        <f t="shared" si="3"/>
        <v>0.21869453460621863</v>
      </c>
    </row>
    <row r="70" spans="1:19" x14ac:dyDescent="0.25">
      <c r="A70">
        <v>69</v>
      </c>
      <c r="B70">
        <v>1.9457000227727641</v>
      </c>
      <c r="C70">
        <v>504.11795043945313</v>
      </c>
      <c r="D70">
        <v>1.9442896842956541</v>
      </c>
      <c r="E70">
        <f t="shared" si="2"/>
        <v>1.9890546200170362E-6</v>
      </c>
      <c r="F70">
        <v>3.8252212107181549E-3</v>
      </c>
      <c r="G70" t="b">
        <v>1</v>
      </c>
      <c r="H70">
        <v>487.5</v>
      </c>
      <c r="I70">
        <v>562.5</v>
      </c>
      <c r="J70">
        <v>0.53931951522827148</v>
      </c>
      <c r="K70">
        <v>0.29086551070213318</v>
      </c>
      <c r="L70">
        <v>3.813564864441522E-3</v>
      </c>
      <c r="M70">
        <v>7.6271295547485352E-3</v>
      </c>
      <c r="N70">
        <v>1.4103384771100291E-3</v>
      </c>
      <c r="O70">
        <v>2723.5529688558731</v>
      </c>
      <c r="P70">
        <v>70</v>
      </c>
      <c r="Q70">
        <v>20000</v>
      </c>
      <c r="R70" t="b">
        <v>1</v>
      </c>
      <c r="S70">
        <f t="shared" si="3"/>
        <v>7.2484887732087E-2</v>
      </c>
    </row>
    <row r="71" spans="1:19" x14ac:dyDescent="0.25">
      <c r="A71">
        <v>70</v>
      </c>
      <c r="B71">
        <v>1.8112030457153261</v>
      </c>
      <c r="C71">
        <v>540.6864013671875</v>
      </c>
      <c r="D71">
        <v>1.8118607997894289</v>
      </c>
      <c r="E71">
        <f t="shared" si="2"/>
        <v>4.3264042199889138E-7</v>
      </c>
      <c r="F71">
        <v>3.368385368958116E-3</v>
      </c>
      <c r="G71" t="b">
        <v>1</v>
      </c>
      <c r="H71">
        <v>487.5</v>
      </c>
      <c r="I71">
        <v>562.5</v>
      </c>
      <c r="J71">
        <v>0.53773772716522217</v>
      </c>
      <c r="K71">
        <v>0.28916186094284058</v>
      </c>
      <c r="L71">
        <v>3.8023799337837008E-3</v>
      </c>
      <c r="M71">
        <v>7.6047596521675587E-3</v>
      </c>
      <c r="N71">
        <v>6.5775407410240128E-4</v>
      </c>
      <c r="O71">
        <v>3569.3414662619512</v>
      </c>
      <c r="P71">
        <v>70</v>
      </c>
      <c r="Q71">
        <v>20000</v>
      </c>
      <c r="R71" t="b">
        <v>1</v>
      </c>
      <c r="S71">
        <f t="shared" si="3"/>
        <v>3.6315866167430412E-2</v>
      </c>
    </row>
    <row r="72" spans="1:19" x14ac:dyDescent="0.25">
      <c r="A72">
        <v>71</v>
      </c>
      <c r="B72">
        <v>1.685670945847273</v>
      </c>
      <c r="C72">
        <v>580.4493408203125</v>
      </c>
      <c r="D72">
        <v>1.6866112947463989</v>
      </c>
      <c r="E72">
        <f t="shared" si="2"/>
        <v>8.8425605208743432E-7</v>
      </c>
      <c r="F72">
        <v>2.8544520027935501E-3</v>
      </c>
      <c r="G72" t="b">
        <v>1</v>
      </c>
      <c r="H72">
        <v>537.5</v>
      </c>
      <c r="I72">
        <v>612.5</v>
      </c>
      <c r="J72">
        <v>0.53801071643829346</v>
      </c>
      <c r="K72">
        <v>0.28945553302764893</v>
      </c>
      <c r="L72">
        <v>3.8043102594454998E-3</v>
      </c>
      <c r="M72">
        <v>7.6086204499006271E-3</v>
      </c>
      <c r="N72">
        <v>9.4034889912597563E-4</v>
      </c>
      <c r="O72">
        <v>4862.6812418954169</v>
      </c>
      <c r="P72">
        <v>70</v>
      </c>
      <c r="Q72">
        <v>20000</v>
      </c>
      <c r="R72" t="b">
        <v>1</v>
      </c>
      <c r="S72">
        <f t="shared" si="3"/>
        <v>5.5784843503565627E-2</v>
      </c>
    </row>
    <row r="73" spans="1:19" x14ac:dyDescent="0.25">
      <c r="A73">
        <v>72</v>
      </c>
      <c r="B73">
        <v>1.569994708318921</v>
      </c>
      <c r="C73">
        <v>622.60028076171875</v>
      </c>
      <c r="D73">
        <v>1.5696079730987551</v>
      </c>
      <c r="E73">
        <f t="shared" si="2"/>
        <v>1.4956413051673382E-7</v>
      </c>
      <c r="F73">
        <v>2.5045967195183039E-3</v>
      </c>
      <c r="G73" t="b">
        <v>1</v>
      </c>
      <c r="H73">
        <v>587.5</v>
      </c>
      <c r="I73">
        <v>662.5</v>
      </c>
      <c r="J73">
        <v>0.53850656747817993</v>
      </c>
      <c r="K73">
        <v>0.28998932242393488</v>
      </c>
      <c r="L73">
        <v>3.807816455773121E-3</v>
      </c>
      <c r="M73">
        <v>7.6156328432261944E-3</v>
      </c>
      <c r="N73">
        <v>3.8673522016585688E-4</v>
      </c>
      <c r="O73">
        <v>6388.6627760408774</v>
      </c>
      <c r="P73">
        <v>70</v>
      </c>
      <c r="Q73">
        <v>20000</v>
      </c>
      <c r="R73" t="b">
        <v>1</v>
      </c>
      <c r="S73">
        <f t="shared" si="3"/>
        <v>2.4632899596200256E-2</v>
      </c>
    </row>
    <row r="74" spans="1:19" x14ac:dyDescent="0.25">
      <c r="A74">
        <v>73</v>
      </c>
      <c r="B74">
        <v>1.464894518558977</v>
      </c>
      <c r="C74">
        <v>666.988525390625</v>
      </c>
      <c r="D74">
        <v>1.467909097671509</v>
      </c>
      <c r="E74">
        <f t="shared" si="2"/>
        <v>9.0876872257142266E-6</v>
      </c>
      <c r="F74">
        <v>2.236041240394115E-3</v>
      </c>
      <c r="G74" t="b">
        <v>1</v>
      </c>
      <c r="H74">
        <v>637.5</v>
      </c>
      <c r="I74">
        <v>712.5</v>
      </c>
      <c r="J74">
        <v>0.54003262519836426</v>
      </c>
      <c r="K74">
        <v>0.29163524508476257</v>
      </c>
      <c r="L74">
        <v>3.8186073133973661E-3</v>
      </c>
      <c r="M74">
        <v>7.6372148469090462E-3</v>
      </c>
      <c r="N74">
        <v>3.0145791125317789E-3</v>
      </c>
      <c r="O74">
        <v>8219.6179559373759</v>
      </c>
      <c r="P74">
        <v>70</v>
      </c>
      <c r="Q74">
        <v>20000</v>
      </c>
      <c r="R74" t="b">
        <v>1</v>
      </c>
      <c r="S74">
        <f t="shared" si="3"/>
        <v>0.20578813520971007</v>
      </c>
    </row>
    <row r="75" spans="1:19" x14ac:dyDescent="0.25">
      <c r="A75">
        <v>74</v>
      </c>
      <c r="B75">
        <v>1.3709374080230179</v>
      </c>
      <c r="C75">
        <v>713.0126953125</v>
      </c>
      <c r="D75">
        <v>1.370973587036133</v>
      </c>
      <c r="E75">
        <f t="shared" si="2"/>
        <v>1.308920989985845E-9</v>
      </c>
      <c r="F75">
        <v>1.9356720149517059E-3</v>
      </c>
      <c r="G75" t="b">
        <v>1</v>
      </c>
      <c r="H75">
        <v>687.5</v>
      </c>
      <c r="I75">
        <v>762.5</v>
      </c>
      <c r="J75">
        <v>0.542091965675354</v>
      </c>
      <c r="K75">
        <v>0.2938636839389801</v>
      </c>
      <c r="L75">
        <v>3.8331690495578791E-3</v>
      </c>
      <c r="M75">
        <v>7.6663382351398468E-3</v>
      </c>
      <c r="N75">
        <v>3.6179013114923109E-5</v>
      </c>
      <c r="O75">
        <v>10841.19420037183</v>
      </c>
      <c r="P75">
        <v>70</v>
      </c>
      <c r="Q75">
        <v>20000</v>
      </c>
      <c r="R75" t="b">
        <v>1</v>
      </c>
      <c r="S75">
        <f t="shared" si="3"/>
        <v>2.638998170390261E-3</v>
      </c>
    </row>
    <row r="76" spans="1:19" x14ac:dyDescent="0.25">
      <c r="A76">
        <v>75</v>
      </c>
      <c r="B76">
        <v>1.2885595404939401</v>
      </c>
      <c r="C76">
        <v>757.803466796875</v>
      </c>
      <c r="D76">
        <v>1.28432309627533</v>
      </c>
      <c r="E76">
        <f t="shared" si="2"/>
        <v>1.7947459617394304E-5</v>
      </c>
      <c r="F76">
        <v>1.793277799151838E-3</v>
      </c>
      <c r="G76" t="b">
        <v>0</v>
      </c>
      <c r="H76">
        <v>737.5</v>
      </c>
      <c r="I76">
        <v>812.5</v>
      </c>
      <c r="J76">
        <v>0.5430106520652771</v>
      </c>
      <c r="K76">
        <v>0.29486054182052612</v>
      </c>
      <c r="L76">
        <v>3.8396651433188641E-3</v>
      </c>
      <c r="M76">
        <v>7.6793301850557327E-3</v>
      </c>
      <c r="N76">
        <v>4.2364442186102469E-3</v>
      </c>
      <c r="O76">
        <v>47.641607365220523</v>
      </c>
      <c r="P76">
        <v>70</v>
      </c>
      <c r="Q76">
        <v>20000</v>
      </c>
      <c r="R76" t="b">
        <v>1</v>
      </c>
      <c r="S76">
        <f t="shared" si="3"/>
        <v>0.32877364882854404</v>
      </c>
    </row>
    <row r="77" spans="1:19" x14ac:dyDescent="0.25">
      <c r="A77">
        <v>76</v>
      </c>
      <c r="B77">
        <v>1.218091315853705</v>
      </c>
      <c r="C77">
        <v>803.16265869140625</v>
      </c>
      <c r="D77">
        <v>1.217975258827209</v>
      </c>
      <c r="E77">
        <f t="shared" si="2"/>
        <v>1.3469233399087403E-8</v>
      </c>
      <c r="F77">
        <v>1.475372700951993E-3</v>
      </c>
      <c r="G77" t="b">
        <v>1</v>
      </c>
      <c r="H77">
        <v>793.75</v>
      </c>
      <c r="I77">
        <v>831.25</v>
      </c>
      <c r="J77">
        <v>0.5391804575920105</v>
      </c>
      <c r="K77">
        <v>0.29071557521820068</v>
      </c>
      <c r="L77">
        <v>3.8125815784657629E-3</v>
      </c>
      <c r="M77">
        <v>7.6251630671322346E-3</v>
      </c>
      <c r="N77">
        <v>1.160570264953087E-4</v>
      </c>
      <c r="O77">
        <v>18017.00968122956</v>
      </c>
      <c r="P77">
        <v>70</v>
      </c>
      <c r="Q77">
        <v>20000</v>
      </c>
      <c r="R77" t="b">
        <v>1</v>
      </c>
      <c r="S77">
        <f t="shared" si="3"/>
        <v>9.5277771858975607E-3</v>
      </c>
    </row>
    <row r="78" spans="1:19" x14ac:dyDescent="0.25">
      <c r="A78">
        <v>77</v>
      </c>
      <c r="B78">
        <v>1.159783590634661</v>
      </c>
      <c r="C78">
        <v>843.139892578125</v>
      </c>
      <c r="D78">
        <v>1.1640465259552</v>
      </c>
      <c r="E78">
        <f t="shared" si="2"/>
        <v>1.817261754709901E-5</v>
      </c>
      <c r="F78">
        <v>1.4033177867531781E-3</v>
      </c>
      <c r="G78" t="b">
        <v>1</v>
      </c>
      <c r="H78">
        <v>818.75</v>
      </c>
      <c r="I78">
        <v>856.25</v>
      </c>
      <c r="J78">
        <v>0.54476481676101685</v>
      </c>
      <c r="K78">
        <v>0.29676872491836548</v>
      </c>
      <c r="L78">
        <v>3.85206896083562E-3</v>
      </c>
      <c r="M78">
        <v>7.7041378244757652E-3</v>
      </c>
      <c r="N78">
        <v>4.2629353205390075E-3</v>
      </c>
      <c r="O78">
        <v>20894.60665468204</v>
      </c>
      <c r="P78">
        <v>70</v>
      </c>
      <c r="Q78">
        <v>20000</v>
      </c>
      <c r="R78" t="b">
        <v>1</v>
      </c>
      <c r="S78">
        <f t="shared" si="3"/>
        <v>0.36756299666269882</v>
      </c>
    </row>
    <row r="79" spans="1:19" x14ac:dyDescent="0.25">
      <c r="A79">
        <v>78</v>
      </c>
      <c r="B79">
        <v>1.113833533176569</v>
      </c>
      <c r="C79">
        <v>878.2418212890625</v>
      </c>
      <c r="D79">
        <v>1.112043499946594</v>
      </c>
      <c r="E79">
        <f t="shared" si="2"/>
        <v>3.2042189644145599E-6</v>
      </c>
      <c r="F79">
        <v>1.2902793241664769E-3</v>
      </c>
      <c r="G79" t="b">
        <v>1</v>
      </c>
      <c r="H79">
        <v>868.75</v>
      </c>
      <c r="I79">
        <v>906.25</v>
      </c>
      <c r="J79">
        <v>0.54646950960159302</v>
      </c>
      <c r="K79">
        <v>0.29862892627716059</v>
      </c>
      <c r="L79">
        <v>3.8641229595097349E-3</v>
      </c>
      <c r="M79">
        <v>7.7282460406422624E-3</v>
      </c>
      <c r="N79">
        <v>1.790033229975174E-3</v>
      </c>
      <c r="O79">
        <v>19711.05278115426</v>
      </c>
      <c r="P79">
        <v>80</v>
      </c>
      <c r="Q79">
        <v>20000</v>
      </c>
      <c r="R79" t="b">
        <v>1</v>
      </c>
      <c r="S79">
        <f t="shared" si="3"/>
        <v>0.16070922419350533</v>
      </c>
    </row>
    <row r="80" spans="1:19" x14ac:dyDescent="0.25">
      <c r="A80">
        <v>79</v>
      </c>
      <c r="B80">
        <v>1.0804088945786661</v>
      </c>
      <c r="C80">
        <v>905.79388427734375</v>
      </c>
      <c r="D80">
        <v>1.079329252243042</v>
      </c>
      <c r="E80">
        <f t="shared" si="2"/>
        <v>1.1656275728718097E-6</v>
      </c>
      <c r="F80">
        <v>1.1961624259129171E-3</v>
      </c>
      <c r="G80" t="b">
        <v>1</v>
      </c>
      <c r="H80">
        <v>893.75</v>
      </c>
      <c r="I80">
        <v>931.25</v>
      </c>
      <c r="J80">
        <v>0.54633551836013794</v>
      </c>
      <c r="K80">
        <v>0.29848247766494751</v>
      </c>
      <c r="L80">
        <v>3.8631754983552112E-3</v>
      </c>
      <c r="M80">
        <v>7.726350799202919E-3</v>
      </c>
      <c r="N80">
        <v>2.7448769013589391E-3</v>
      </c>
      <c r="O80">
        <v>669.90731859745927</v>
      </c>
      <c r="P80">
        <v>70</v>
      </c>
      <c r="Q80">
        <v>20000</v>
      </c>
      <c r="R80" t="b">
        <v>1</v>
      </c>
      <c r="S80">
        <f t="shared" si="3"/>
        <v>0.25405908032896901</v>
      </c>
    </row>
    <row r="81" spans="1:19" x14ac:dyDescent="0.25">
      <c r="A81">
        <v>80</v>
      </c>
      <c r="B81">
        <v>1.059669741704262</v>
      </c>
      <c r="C81">
        <v>924.84893798828125</v>
      </c>
      <c r="D81">
        <v>1.0567318201065059</v>
      </c>
      <c r="E81">
        <f t="shared" si="2"/>
        <v>8.6313833145616196E-6</v>
      </c>
      <c r="F81">
        <v>1.0263194562867279E-3</v>
      </c>
      <c r="G81" t="b">
        <v>1</v>
      </c>
      <c r="H81">
        <v>918.75</v>
      </c>
      <c r="I81">
        <v>956.25</v>
      </c>
      <c r="J81">
        <v>0.54913276433944702</v>
      </c>
      <c r="K81">
        <v>0.30154681205749512</v>
      </c>
      <c r="L81">
        <v>3.8829550143613732E-3</v>
      </c>
      <c r="M81">
        <v>7.7659101225435734E-3</v>
      </c>
      <c r="N81">
        <v>2.9379215977560769E-3</v>
      </c>
      <c r="O81">
        <v>34223.192511983551</v>
      </c>
      <c r="P81">
        <v>70</v>
      </c>
      <c r="Q81">
        <v>20000</v>
      </c>
      <c r="R81" t="b">
        <v>1</v>
      </c>
      <c r="S81">
        <f t="shared" si="3"/>
        <v>0.2772487957456472</v>
      </c>
    </row>
    <row r="82" spans="1:19" x14ac:dyDescent="0.25">
      <c r="A82">
        <v>81</v>
      </c>
      <c r="B82">
        <v>1.051786933968325</v>
      </c>
      <c r="C82">
        <v>930.06939697265625</v>
      </c>
      <c r="D82">
        <v>1.050126314163208</v>
      </c>
      <c r="E82">
        <f t="shared" si="2"/>
        <v>2.7576581371468327E-6</v>
      </c>
      <c r="F82">
        <v>1.12149165943265E-3</v>
      </c>
      <c r="G82" t="b">
        <v>1</v>
      </c>
      <c r="H82">
        <v>918.75</v>
      </c>
      <c r="I82">
        <v>956.25</v>
      </c>
      <c r="J82">
        <v>0.54532283544540405</v>
      </c>
      <c r="K82">
        <v>0.29737699031829828</v>
      </c>
      <c r="L82">
        <v>3.8560147487932098E-3</v>
      </c>
      <c r="M82">
        <v>7.7120293863117686E-3</v>
      </c>
      <c r="N82">
        <v>1.660619805117225E-3</v>
      </c>
      <c r="O82">
        <v>39737.685786778638</v>
      </c>
      <c r="P82">
        <v>60</v>
      </c>
      <c r="Q82">
        <v>20000</v>
      </c>
      <c r="R82" t="b">
        <v>1</v>
      </c>
      <c r="S82">
        <f t="shared" si="3"/>
        <v>0.1578855708781067</v>
      </c>
    </row>
    <row r="83" spans="1:19" x14ac:dyDescent="0.25">
      <c r="A83">
        <v>82</v>
      </c>
      <c r="B83">
        <v>1.056956812851094</v>
      </c>
      <c r="C83">
        <v>925.05218505859375</v>
      </c>
      <c r="D83">
        <v>1.057095050811768</v>
      </c>
      <c r="E83">
        <f t="shared" si="2"/>
        <v>1.910973377131351E-8</v>
      </c>
      <c r="F83">
        <v>1.2383922003209591E-3</v>
      </c>
      <c r="G83" t="b">
        <v>1</v>
      </c>
      <c r="H83">
        <v>918.75</v>
      </c>
      <c r="I83">
        <v>956.25</v>
      </c>
      <c r="J83">
        <v>0.54484963417053223</v>
      </c>
      <c r="K83">
        <v>0.29686114192008972</v>
      </c>
      <c r="L83">
        <v>3.85266871048993E-3</v>
      </c>
      <c r="M83">
        <v>7.70533736795187E-3</v>
      </c>
      <c r="N83">
        <v>1.3823796067335969E-4</v>
      </c>
      <c r="O83">
        <v>35635.38615767243</v>
      </c>
      <c r="P83">
        <v>60</v>
      </c>
      <c r="Q83">
        <v>20000</v>
      </c>
      <c r="R83" t="b">
        <v>1</v>
      </c>
      <c r="S83">
        <f t="shared" si="3"/>
        <v>1.3078865568827636E-2</v>
      </c>
    </row>
    <row r="84" spans="1:19" x14ac:dyDescent="0.25">
      <c r="A84">
        <v>83</v>
      </c>
      <c r="B84">
        <v>1.0754117048643399</v>
      </c>
      <c r="C84">
        <v>910.02313232421875</v>
      </c>
      <c r="D84">
        <v>1.0754169225692749</v>
      </c>
      <c r="E84">
        <f t="shared" si="2"/>
        <v>2.722444478873448E-11</v>
      </c>
      <c r="F84">
        <v>1.40053400807828E-3</v>
      </c>
      <c r="G84" t="b">
        <v>0</v>
      </c>
      <c r="H84">
        <v>893.75</v>
      </c>
      <c r="I84">
        <v>931.25</v>
      </c>
      <c r="J84">
        <v>0.54520237445831299</v>
      </c>
      <c r="K84">
        <v>0.29724565148353582</v>
      </c>
      <c r="L84">
        <v>3.855162960984804E-3</v>
      </c>
      <c r="M84">
        <v>7.7103259973227978E-3</v>
      </c>
      <c r="N84">
        <v>5.2177049350010662E-6</v>
      </c>
      <c r="O84">
        <v>133.63101162962889</v>
      </c>
      <c r="P84">
        <v>70</v>
      </c>
      <c r="Q84">
        <v>20000</v>
      </c>
      <c r="R84" t="b">
        <v>1</v>
      </c>
      <c r="S84">
        <f t="shared" si="3"/>
        <v>4.8518208527954083E-4</v>
      </c>
    </row>
    <row r="85" spans="1:19" x14ac:dyDescent="0.25">
      <c r="A85">
        <v>84</v>
      </c>
      <c r="B85">
        <v>1.107425917291978</v>
      </c>
      <c r="C85">
        <v>883.05816650390625</v>
      </c>
      <c r="D85">
        <v>1.109120845794678</v>
      </c>
      <c r="E85">
        <f t="shared" si="2"/>
        <v>2.8727826292645985E-6</v>
      </c>
      <c r="F85">
        <v>1.340210204944015E-3</v>
      </c>
      <c r="G85" t="b">
        <v>1</v>
      </c>
      <c r="H85">
        <v>868.75</v>
      </c>
      <c r="I85">
        <v>906.25</v>
      </c>
      <c r="J85">
        <v>0.54369378089904785</v>
      </c>
      <c r="K85">
        <v>0.295602947473526</v>
      </c>
      <c r="L85">
        <v>3.8444955936266971E-3</v>
      </c>
      <c r="M85">
        <v>7.6889912597835064E-3</v>
      </c>
      <c r="N85">
        <v>1.6949285026999217E-3</v>
      </c>
      <c r="O85">
        <v>29995.207830151801</v>
      </c>
      <c r="P85">
        <v>60</v>
      </c>
      <c r="Q85">
        <v>20000</v>
      </c>
      <c r="R85" t="b">
        <v>1</v>
      </c>
      <c r="S85">
        <f t="shared" si="3"/>
        <v>0.15305118619984814</v>
      </c>
    </row>
    <row r="86" spans="1:19" x14ac:dyDescent="0.25">
      <c r="A86">
        <v>85</v>
      </c>
      <c r="B86">
        <v>1.153316940821536</v>
      </c>
      <c r="C86">
        <v>848.11285400390625</v>
      </c>
      <c r="D86">
        <v>1.1526093482971189</v>
      </c>
      <c r="E86">
        <f t="shared" si="2"/>
        <v>5.0068718061096424E-7</v>
      </c>
      <c r="F86">
        <v>1.31747021805495E-3</v>
      </c>
      <c r="G86" t="b">
        <v>1</v>
      </c>
      <c r="H86">
        <v>818.75</v>
      </c>
      <c r="I86">
        <v>856.25</v>
      </c>
      <c r="J86">
        <v>0.54546272754669189</v>
      </c>
      <c r="K86">
        <v>0.29752957820892328</v>
      </c>
      <c r="L86">
        <v>3.85700393532776E-3</v>
      </c>
      <c r="M86">
        <v>7.7140079811215401E-3</v>
      </c>
      <c r="N86">
        <v>7.0759252441709997E-4</v>
      </c>
      <c r="O86">
        <v>22506.398279807439</v>
      </c>
      <c r="P86">
        <v>70</v>
      </c>
      <c r="Q86">
        <v>20000</v>
      </c>
      <c r="R86" t="b">
        <v>1</v>
      </c>
      <c r="S86">
        <f t="shared" si="3"/>
        <v>6.1352825001691591E-2</v>
      </c>
    </row>
    <row r="87" spans="1:19" x14ac:dyDescent="0.25">
      <c r="A87">
        <v>86</v>
      </c>
      <c r="B87">
        <v>1.2134415787506809</v>
      </c>
      <c r="C87">
        <v>805.17840576171875</v>
      </c>
      <c r="D87">
        <v>1.2129890918731689</v>
      </c>
      <c r="E87">
        <f t="shared" si="2"/>
        <v>2.0474437432054313E-7</v>
      </c>
      <c r="F87">
        <v>1.515534124337137E-3</v>
      </c>
      <c r="G87" t="b">
        <v>1</v>
      </c>
      <c r="H87">
        <v>787.5</v>
      </c>
      <c r="I87">
        <v>862.5</v>
      </c>
      <c r="J87">
        <v>0.5471457839012146</v>
      </c>
      <c r="K87">
        <v>0.29936850070953369</v>
      </c>
      <c r="L87">
        <v>3.8689049409417809E-3</v>
      </c>
      <c r="M87">
        <v>7.7378097921609879E-3</v>
      </c>
      <c r="N87">
        <v>2.3888665389311114E-3</v>
      </c>
      <c r="O87">
        <v>17674.23746215256</v>
      </c>
      <c r="P87">
        <v>70</v>
      </c>
      <c r="Q87">
        <v>20000</v>
      </c>
      <c r="R87" t="b">
        <v>1</v>
      </c>
      <c r="S87">
        <f t="shared" si="3"/>
        <v>0.19686704170715899</v>
      </c>
    </row>
    <row r="88" spans="1:19" x14ac:dyDescent="0.25">
      <c r="A88">
        <v>87</v>
      </c>
      <c r="B88">
        <v>1.288186717062378</v>
      </c>
      <c r="C88">
        <v>759.5911865234375</v>
      </c>
      <c r="D88">
        <v>1.28356409072876</v>
      </c>
      <c r="E88">
        <f t="shared" si="2"/>
        <v>2.1368674220258456E-5</v>
      </c>
      <c r="F88">
        <v>1.6302834264934061E-3</v>
      </c>
      <c r="G88" t="b">
        <v>1</v>
      </c>
      <c r="H88">
        <v>743.75</v>
      </c>
      <c r="I88">
        <v>781.25</v>
      </c>
      <c r="J88">
        <v>0.54227781295776367</v>
      </c>
      <c r="K88">
        <v>0.2940652072429657</v>
      </c>
      <c r="L88">
        <v>3.8344831882944491E-3</v>
      </c>
      <c r="M88">
        <v>7.6689664274454117E-3</v>
      </c>
      <c r="N88">
        <v>4.6226263336184292E-3</v>
      </c>
      <c r="O88">
        <v>14578.854524978389</v>
      </c>
      <c r="P88">
        <v>70</v>
      </c>
      <c r="Q88">
        <v>20000</v>
      </c>
      <c r="R88" t="b">
        <v>1</v>
      </c>
      <c r="S88">
        <f t="shared" si="3"/>
        <v>0.35884753913314782</v>
      </c>
    </row>
    <row r="89" spans="1:19" x14ac:dyDescent="0.25">
      <c r="A89">
        <v>88</v>
      </c>
      <c r="B89">
        <v>1.3779544541977089</v>
      </c>
      <c r="C89">
        <v>709.41546630859375</v>
      </c>
      <c r="D89">
        <v>1.375151634216309</v>
      </c>
      <c r="E89">
        <f t="shared" si="2"/>
        <v>7.8557998481343247E-6</v>
      </c>
      <c r="F89">
        <v>1.691667246632278E-3</v>
      </c>
      <c r="G89" t="b">
        <v>0</v>
      </c>
      <c r="H89">
        <v>693.75</v>
      </c>
      <c r="I89">
        <v>731.25</v>
      </c>
      <c r="J89">
        <v>0.53854817152023315</v>
      </c>
      <c r="K89">
        <v>0.29003411531448359</v>
      </c>
      <c r="L89">
        <v>3.808110640775728E-3</v>
      </c>
      <c r="M89">
        <v>7.6162214390933514E-3</v>
      </c>
      <c r="N89">
        <v>2.80281998140075E-3</v>
      </c>
      <c r="O89">
        <v>6.7883416950050961</v>
      </c>
      <c r="P89">
        <v>70</v>
      </c>
      <c r="Q89">
        <v>20000</v>
      </c>
      <c r="R89" t="b">
        <v>1</v>
      </c>
      <c r="S89">
        <f t="shared" si="3"/>
        <v>0.20340439938797872</v>
      </c>
    </row>
    <row r="90" spans="1:19" x14ac:dyDescent="0.25">
      <c r="A90">
        <v>89</v>
      </c>
      <c r="B90">
        <v>1.4831413464062131</v>
      </c>
      <c r="C90">
        <v>658.56390380859375</v>
      </c>
      <c r="D90">
        <v>1.4825431108474729</v>
      </c>
      <c r="E90">
        <f t="shared" si="2"/>
        <v>3.578857837411607E-7</v>
      </c>
      <c r="F90">
        <v>2.1405306179076429E-3</v>
      </c>
      <c r="G90" t="b">
        <v>1</v>
      </c>
      <c r="H90">
        <v>643.75</v>
      </c>
      <c r="I90">
        <v>681.25</v>
      </c>
      <c r="J90">
        <v>0.5407295823097229</v>
      </c>
      <c r="K90">
        <v>0.29238849878311157</v>
      </c>
      <c r="L90">
        <v>3.8235355443937439E-3</v>
      </c>
      <c r="M90">
        <v>7.6470710337162018E-3</v>
      </c>
      <c r="N90">
        <v>5.9823555873994572E-4</v>
      </c>
      <c r="O90">
        <v>8376.404098929992</v>
      </c>
      <c r="P90">
        <v>70</v>
      </c>
      <c r="Q90">
        <v>20000</v>
      </c>
      <c r="R90" t="b">
        <v>1</v>
      </c>
      <c r="S90">
        <f t="shared" si="3"/>
        <v>4.033570773207322E-2</v>
      </c>
    </row>
    <row r="91" spans="1:19" x14ac:dyDescent="0.25">
      <c r="A91">
        <v>90</v>
      </c>
      <c r="B91">
        <v>1.60411161733039</v>
      </c>
      <c r="C91">
        <v>609.16339111328125</v>
      </c>
      <c r="D91">
        <v>1.605581402778625</v>
      </c>
      <c r="E91">
        <f t="shared" si="2"/>
        <v>2.1602692638435405E-6</v>
      </c>
      <c r="F91">
        <v>2.586782211437821E-3</v>
      </c>
      <c r="G91" t="b">
        <v>1</v>
      </c>
      <c r="H91">
        <v>600</v>
      </c>
      <c r="I91">
        <v>631.25</v>
      </c>
      <c r="J91">
        <v>0.54172325134277344</v>
      </c>
      <c r="K91">
        <v>0.29346409440040588</v>
      </c>
      <c r="L91">
        <v>3.8305618455089958E-3</v>
      </c>
      <c r="M91">
        <v>7.6611237600445747E-3</v>
      </c>
      <c r="N91">
        <v>1.469785448235061E-3</v>
      </c>
      <c r="O91">
        <v>5925.3651017309621</v>
      </c>
      <c r="P91">
        <v>70</v>
      </c>
      <c r="Q91">
        <v>20000</v>
      </c>
      <c r="R91" t="b">
        <v>1</v>
      </c>
      <c r="S91">
        <f t="shared" si="3"/>
        <v>9.1626133266282397E-2</v>
      </c>
    </row>
    <row r="92" spans="1:19" x14ac:dyDescent="0.25">
      <c r="A92">
        <v>91</v>
      </c>
      <c r="B92">
        <v>1.741164351173744</v>
      </c>
      <c r="C92">
        <v>561.83294677734375</v>
      </c>
      <c r="D92">
        <v>1.7451074123382571</v>
      </c>
      <c r="E92">
        <f t="shared" si="2"/>
        <v>1.5547731347090929E-5</v>
      </c>
      <c r="F92">
        <v>3.1471722759306431E-3</v>
      </c>
      <c r="G92" t="b">
        <v>1</v>
      </c>
      <c r="H92">
        <v>543.75</v>
      </c>
      <c r="I92">
        <v>581.25</v>
      </c>
      <c r="J92">
        <v>0.53951317071914673</v>
      </c>
      <c r="K92">
        <v>0.29107445478439331</v>
      </c>
      <c r="L92">
        <v>3.8149342155496409E-3</v>
      </c>
      <c r="M92">
        <v>7.6298685744404793E-3</v>
      </c>
      <c r="N92">
        <v>3.9430611645130398E-3</v>
      </c>
      <c r="O92">
        <v>4133.7489623763877</v>
      </c>
      <c r="P92">
        <v>70</v>
      </c>
      <c r="Q92">
        <v>20000</v>
      </c>
      <c r="R92" t="b">
        <v>1</v>
      </c>
      <c r="S92">
        <f t="shared" si="3"/>
        <v>0.22646117018505263</v>
      </c>
    </row>
    <row r="93" spans="1:19" x14ac:dyDescent="0.25">
      <c r="A93">
        <v>92</v>
      </c>
      <c r="B93">
        <v>1.8944949560389981</v>
      </c>
      <c r="C93">
        <v>517.19720458984375</v>
      </c>
      <c r="D93">
        <v>1.89471447467804</v>
      </c>
      <c r="E93">
        <f t="shared" si="2"/>
        <v>4.8188432886810005E-8</v>
      </c>
      <c r="F93">
        <v>3.6374018527567391E-3</v>
      </c>
      <c r="G93" t="b">
        <v>1</v>
      </c>
      <c r="H93">
        <v>493.75</v>
      </c>
      <c r="I93">
        <v>531.25</v>
      </c>
      <c r="J93">
        <v>0.54436945915222168</v>
      </c>
      <c r="K93">
        <v>0.29633811116218572</v>
      </c>
      <c r="L93">
        <v>3.849273360373892E-3</v>
      </c>
      <c r="M93">
        <v>7.6985466293990612E-3</v>
      </c>
      <c r="N93">
        <v>2.1951863904190461E-4</v>
      </c>
      <c r="O93">
        <v>3021.105968767085</v>
      </c>
      <c r="P93">
        <v>70</v>
      </c>
      <c r="Q93">
        <v>20000</v>
      </c>
      <c r="R93" t="b">
        <v>1</v>
      </c>
      <c r="S93">
        <f t="shared" si="3"/>
        <v>1.1587185193719029E-2</v>
      </c>
    </row>
    <row r="94" spans="1:19" x14ac:dyDescent="0.25">
      <c r="A94">
        <v>93</v>
      </c>
      <c r="B94">
        <v>2.0641515592264712</v>
      </c>
      <c r="C94">
        <v>475.73391723632813</v>
      </c>
      <c r="D94">
        <v>2.0646834373474121</v>
      </c>
      <c r="E94">
        <f t="shared" si="2"/>
        <v>2.8289433553563284E-7</v>
      </c>
      <c r="F94">
        <v>4.2521283030509949E-3</v>
      </c>
      <c r="G94" t="b">
        <v>1</v>
      </c>
      <c r="H94">
        <v>468.75</v>
      </c>
      <c r="I94">
        <v>506.25</v>
      </c>
      <c r="J94">
        <v>0.54014480113983154</v>
      </c>
      <c r="K94">
        <v>0.29175639152526861</v>
      </c>
      <c r="L94">
        <v>3.8194005170863409E-3</v>
      </c>
      <c r="M94">
        <v>7.6388008892536163E-3</v>
      </c>
      <c r="N94">
        <v>5.3187812094135367E-4</v>
      </c>
      <c r="O94">
        <v>2176.9809311967551</v>
      </c>
      <c r="P94">
        <v>70</v>
      </c>
      <c r="Q94">
        <v>20000</v>
      </c>
      <c r="R94" t="b">
        <v>1</v>
      </c>
      <c r="S94">
        <f t="shared" si="3"/>
        <v>2.5767396709022273E-2</v>
      </c>
    </row>
    <row r="95" spans="1:19" x14ac:dyDescent="0.25">
      <c r="A95">
        <v>94</v>
      </c>
      <c r="B95">
        <v>2.2499874789877352</v>
      </c>
      <c r="C95">
        <v>437.32403564453119</v>
      </c>
      <c r="D95">
        <v>2.2502238750457759</v>
      </c>
      <c r="E95">
        <f t="shared" si="2"/>
        <v>5.5883096257187184E-8</v>
      </c>
      <c r="F95">
        <v>5.0141783431172371E-3</v>
      </c>
      <c r="G95" t="b">
        <v>1</v>
      </c>
      <c r="H95">
        <v>418.75</v>
      </c>
      <c r="I95">
        <v>456.25</v>
      </c>
      <c r="J95">
        <v>0.54189616441726685</v>
      </c>
      <c r="K95">
        <v>0.29365143179893488</v>
      </c>
      <c r="L95">
        <v>3.831784525584297E-3</v>
      </c>
      <c r="M95">
        <v>7.6635689474642277E-3</v>
      </c>
      <c r="N95">
        <v>2.3639605804115499E-4</v>
      </c>
      <c r="O95">
        <v>1553.760833953382</v>
      </c>
      <c r="P95">
        <v>70</v>
      </c>
      <c r="Q95">
        <v>20000</v>
      </c>
      <c r="R95" t="b">
        <v>1</v>
      </c>
      <c r="S95">
        <f t="shared" si="3"/>
        <v>1.0506549936336051E-2</v>
      </c>
    </row>
    <row r="96" spans="1:19" x14ac:dyDescent="0.25">
      <c r="A96">
        <v>95</v>
      </c>
      <c r="B96">
        <v>2.451611489865392</v>
      </c>
      <c r="C96">
        <v>402.53265380859381</v>
      </c>
      <c r="D96">
        <v>2.4533123970031738</v>
      </c>
      <c r="E96">
        <f t="shared" si="2"/>
        <v>2.893085091357127E-6</v>
      </c>
      <c r="F96">
        <v>6.1460942961275578E-3</v>
      </c>
      <c r="G96" t="b">
        <v>1</v>
      </c>
      <c r="H96">
        <v>393.75</v>
      </c>
      <c r="I96">
        <v>431.25</v>
      </c>
      <c r="J96">
        <v>0.54150855541229248</v>
      </c>
      <c r="K96">
        <v>0.2932315468788147</v>
      </c>
      <c r="L96">
        <v>3.8290437160256332E-3</v>
      </c>
      <c r="M96">
        <v>7.6580876484513283E-3</v>
      </c>
      <c r="N96">
        <v>1.700907137781815E-3</v>
      </c>
      <c r="O96">
        <v>1067.681294348195</v>
      </c>
      <c r="P96">
        <v>70</v>
      </c>
      <c r="Q96">
        <v>20000</v>
      </c>
      <c r="R96" t="b">
        <v>1</v>
      </c>
      <c r="S96">
        <f t="shared" si="3"/>
        <v>6.9379146933073191E-2</v>
      </c>
    </row>
    <row r="97" spans="1:19" x14ac:dyDescent="0.25">
      <c r="A97">
        <v>96</v>
      </c>
      <c r="B97">
        <v>2.668338221910707</v>
      </c>
      <c r="C97">
        <v>370.69317626953119</v>
      </c>
      <c r="D97">
        <v>2.6640868186950679</v>
      </c>
      <c r="E97">
        <f t="shared" si="2"/>
        <v>1.8074429301946517E-5</v>
      </c>
      <c r="F97">
        <v>7.0380507968366146E-3</v>
      </c>
      <c r="G97" t="b">
        <v>1</v>
      </c>
      <c r="H97">
        <v>350</v>
      </c>
      <c r="I97">
        <v>381.25</v>
      </c>
      <c r="J97">
        <v>0.55232340097427368</v>
      </c>
      <c r="K97">
        <v>0.30506113171577448</v>
      </c>
      <c r="L97">
        <v>3.9055162223692549E-3</v>
      </c>
      <c r="M97">
        <v>7.811032235622406E-3</v>
      </c>
      <c r="N97">
        <v>4.2514032156386614E-3</v>
      </c>
      <c r="O97">
        <v>787.06390842971723</v>
      </c>
      <c r="P97">
        <v>70</v>
      </c>
      <c r="Q97">
        <v>20000</v>
      </c>
      <c r="R97" t="b">
        <v>1</v>
      </c>
      <c r="S97">
        <f t="shared" si="3"/>
        <v>0.15932774866127636</v>
      </c>
    </row>
    <row r="98" spans="1:19" x14ac:dyDescent="0.25">
      <c r="A98">
        <v>97</v>
      </c>
      <c r="B98">
        <v>2.8991416438778361</v>
      </c>
      <c r="C98">
        <v>342.44683837890619</v>
      </c>
      <c r="D98">
        <v>2.8974988460540771</v>
      </c>
      <c r="E98">
        <f t="shared" si="2"/>
        <v>2.6987846897472378E-6</v>
      </c>
      <c r="F98">
        <v>8.0352509394288063E-3</v>
      </c>
      <c r="G98" t="b">
        <v>1</v>
      </c>
      <c r="H98">
        <v>318.75</v>
      </c>
      <c r="I98">
        <v>356.25</v>
      </c>
      <c r="J98">
        <v>0.55505967140197754</v>
      </c>
      <c r="K98">
        <v>0.30809125304222112</v>
      </c>
      <c r="L98">
        <v>3.9248645761151514E-3</v>
      </c>
      <c r="M98">
        <v>7.8497286885976791E-3</v>
      </c>
      <c r="N98">
        <v>1.642797823758535E-3</v>
      </c>
      <c r="O98">
        <v>583.99057278602959</v>
      </c>
      <c r="P98">
        <v>70</v>
      </c>
      <c r="Q98">
        <v>20000</v>
      </c>
      <c r="R98" t="b">
        <v>1</v>
      </c>
      <c r="S98">
        <f t="shared" si="3"/>
        <v>5.6664972793849432E-2</v>
      </c>
    </row>
    <row r="99" spans="1:19" x14ac:dyDescent="0.25">
      <c r="A99">
        <v>98</v>
      </c>
      <c r="B99">
        <v>3.1426150900261072</v>
      </c>
      <c r="C99">
        <v>317.7115478515625</v>
      </c>
      <c r="D99">
        <v>3.148351669311523</v>
      </c>
      <c r="E99">
        <f t="shared" si="2"/>
        <v>3.29083418978619E-5</v>
      </c>
      <c r="F99">
        <v>9.2890560626983643E-3</v>
      </c>
      <c r="G99" t="b">
        <v>1</v>
      </c>
      <c r="H99">
        <v>293.75</v>
      </c>
      <c r="I99">
        <v>331.25</v>
      </c>
      <c r="J99">
        <v>0.56511878967285156</v>
      </c>
      <c r="K99">
        <v>0.31935924291610718</v>
      </c>
      <c r="L99">
        <v>3.9959932835360763E-3</v>
      </c>
      <c r="M99">
        <v>7.9919863492250443E-3</v>
      </c>
      <c r="N99">
        <v>5.7365792854162656E-3</v>
      </c>
      <c r="O99">
        <v>429.92250757184502</v>
      </c>
      <c r="P99">
        <v>70</v>
      </c>
      <c r="Q99">
        <v>20000</v>
      </c>
      <c r="R99" t="b">
        <v>1</v>
      </c>
      <c r="S99">
        <f t="shared" si="3"/>
        <v>0.18254158148806601</v>
      </c>
    </row>
    <row r="100" spans="1:19" x14ac:dyDescent="0.25">
      <c r="A100">
        <v>99</v>
      </c>
      <c r="B100">
        <v>3.396941596840962</v>
      </c>
      <c r="C100">
        <v>295.99356079101563</v>
      </c>
      <c r="D100">
        <v>3.395908117294312</v>
      </c>
      <c r="E100">
        <f t="shared" si="2"/>
        <v>1.0680799733439037E-6</v>
      </c>
      <c r="F100">
        <v>1.046575699001551E-2</v>
      </c>
      <c r="G100" t="b">
        <v>1</v>
      </c>
      <c r="H100">
        <v>268.75</v>
      </c>
      <c r="I100">
        <v>306.25</v>
      </c>
      <c r="J100">
        <v>0.56142938137054443</v>
      </c>
      <c r="K100">
        <v>0.31520295143127441</v>
      </c>
      <c r="L100">
        <v>3.969905227244803E-3</v>
      </c>
      <c r="M100">
        <v>7.9398108646273613E-3</v>
      </c>
      <c r="N100">
        <v>1.0334795466500069E-3</v>
      </c>
      <c r="O100">
        <v>326.58583376427657</v>
      </c>
      <c r="P100">
        <v>70</v>
      </c>
      <c r="Q100">
        <v>20000</v>
      </c>
      <c r="R100" t="b">
        <v>0</v>
      </c>
      <c r="S100">
        <f t="shared" si="3"/>
        <v>3.0423824407552577E-2</v>
      </c>
    </row>
    <row r="101" spans="1:19" x14ac:dyDescent="0.25">
      <c r="A101">
        <v>100</v>
      </c>
      <c r="B101">
        <v>3.65987831595602</v>
      </c>
      <c r="C101">
        <v>277.44094848632813</v>
      </c>
      <c r="D101">
        <v>3.663387537002563</v>
      </c>
      <c r="E101">
        <f t="shared" si="2"/>
        <v>1.2314632353500727E-5</v>
      </c>
      <c r="F101">
        <v>1.132305338978767E-2</v>
      </c>
      <c r="G101" t="b">
        <v>1</v>
      </c>
      <c r="H101">
        <v>268.75</v>
      </c>
      <c r="I101">
        <v>306.25</v>
      </c>
      <c r="J101">
        <v>0.55844169855117798</v>
      </c>
      <c r="K101">
        <v>0.31185716390609741</v>
      </c>
      <c r="L101">
        <v>3.9487791194287173E-3</v>
      </c>
      <c r="M101">
        <v>7.8975586220622063E-3</v>
      </c>
      <c r="N101">
        <v>3.5092210465386131E-3</v>
      </c>
      <c r="O101">
        <v>260.04427790048851</v>
      </c>
      <c r="P101">
        <v>70</v>
      </c>
      <c r="Q101">
        <v>20000</v>
      </c>
      <c r="R101" t="b">
        <v>0</v>
      </c>
      <c r="S101">
        <f t="shared" si="3"/>
        <v>9.5883544303629317E-2</v>
      </c>
    </row>
    <row r="102" spans="1:19" x14ac:dyDescent="0.25">
      <c r="A102">
        <v>101</v>
      </c>
      <c r="B102">
        <v>3.9287583783681899</v>
      </c>
      <c r="C102">
        <v>262.08700561523438</v>
      </c>
      <c r="D102">
        <v>3.9297914505004878</v>
      </c>
      <c r="E102">
        <f t="shared" si="2"/>
        <v>1.0672380305306829E-6</v>
      </c>
      <c r="F102">
        <v>1.2498758733272551E-2</v>
      </c>
      <c r="G102" t="b">
        <v>1</v>
      </c>
      <c r="H102">
        <v>243.75</v>
      </c>
      <c r="I102">
        <v>281.25</v>
      </c>
      <c r="J102">
        <v>0.56631797552108765</v>
      </c>
      <c r="K102">
        <v>0.32071602344512939</v>
      </c>
      <c r="L102">
        <v>4.0044728079879832E-3</v>
      </c>
      <c r="M102">
        <v>8.0089457333087921E-3</v>
      </c>
      <c r="N102">
        <v>1.0330721322979741E-3</v>
      </c>
      <c r="O102">
        <v>204.44035388056281</v>
      </c>
      <c r="P102">
        <v>70</v>
      </c>
      <c r="Q102">
        <v>20000</v>
      </c>
      <c r="R102" t="b">
        <v>0</v>
      </c>
      <c r="S102">
        <f t="shared" si="3"/>
        <v>2.6295130237229319E-2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2025-10-14T20:28:48Z</dcterms:created>
  <dcterms:modified xsi:type="dcterms:W3CDTF">2025-11-03T18:52:47Z</dcterms:modified>
</cp:coreProperties>
</file>