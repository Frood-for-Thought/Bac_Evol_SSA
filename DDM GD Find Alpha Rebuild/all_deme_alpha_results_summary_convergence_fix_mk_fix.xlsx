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53DE1A43-D9EC-4833-85E9-A9E4D1E3D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1" l="1"/>
  <c r="E90" i="1"/>
  <c r="E77" i="1"/>
  <c r="E75" i="1"/>
  <c r="E73" i="1"/>
  <c r="E29" i="1"/>
  <c r="E27" i="1"/>
  <c r="N25" i="1"/>
  <c r="S25" i="1" s="1"/>
  <c r="S9" i="1"/>
  <c r="S102" i="1"/>
  <c r="S101" i="1"/>
  <c r="S93" i="1"/>
  <c r="S94" i="1"/>
  <c r="S95" i="1"/>
  <c r="S96" i="1"/>
  <c r="S97" i="1"/>
  <c r="S98" i="1"/>
  <c r="S99" i="1"/>
  <c r="S100" i="1"/>
  <c r="S92" i="1"/>
  <c r="S91" i="1"/>
  <c r="S89" i="1"/>
  <c r="S90" i="1"/>
  <c r="S87" i="1"/>
  <c r="S84" i="1"/>
  <c r="S88" i="1"/>
  <c r="S86" i="1"/>
  <c r="S85" i="1"/>
  <c r="S82" i="1"/>
  <c r="S83" i="1"/>
  <c r="S80" i="1"/>
  <c r="S81" i="1"/>
  <c r="S78" i="1"/>
  <c r="S79" i="1"/>
  <c r="S77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62" i="1"/>
  <c r="S59" i="1"/>
  <c r="S60" i="1"/>
  <c r="S61" i="1"/>
  <c r="S58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2" i="1"/>
  <c r="S105" i="1" l="1"/>
  <c r="S106" i="1"/>
  <c r="S107" i="1"/>
  <c r="S104" i="1" a="1"/>
  <c r="S104" i="1" s="1"/>
  <c r="S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<sst xmlns="http://schemas.openxmlformats.org/spreadsheetml/2006/main" count="24" uniqueCount="24">
  <si>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deme_index</t>
  </si>
  <si>
    <t>v_d_target</t>
  </si>
  <si>
    <t>alpha_star</t>
  </si>
  <si>
    <t>mu_final</t>
  </si>
  <si>
    <t>final_loss</t>
  </si>
  <si>
    <t>mk_slope_final</t>
  </si>
  <si>
    <t>pr_slope_ready</t>
  </si>
  <si>
    <t>alpha_min</t>
  </si>
  <si>
    <t>alpha_max</t>
  </si>
  <si>
    <t>std_final</t>
  </si>
  <si>
    <t>var_final</t>
  </si>
  <si>
    <t>std_err_final</t>
  </si>
  <si>
    <t>std_err_ci_final</t>
  </si>
  <si>
    <t>abs(mu_minus_vd)</t>
  </si>
  <si>
    <t>learning_rate</t>
  </si>
  <si>
    <t>num_epochs</t>
  </si>
  <si>
    <t>linear_filter_region</t>
  </si>
  <si>
    <t>Error: (mu - vd)/vd * 100%</t>
  </si>
  <si>
    <t>max_n_samples_final</t>
  </si>
  <si>
    <t>Mean Abs Percent Error</t>
  </si>
  <si>
    <t>Median absolute percent error</t>
  </si>
  <si>
    <t>95th percentile</t>
  </si>
  <si>
    <t>Standard Deviation of absolute percent error</t>
  </si>
  <si>
    <t>Maximum absolute perc.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</si>
</sst>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3" borderId="9" applyNumberFormat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1"/>
    <xf numFmtId="0" fontId="2" fillId="2" borderId="3" xfId="1" applyBorder="1"/>
    <xf numFmtId="0" fontId="2" fillId="2" borderId="4" xfId="1" applyBorder="1"/>
    <xf numFmtId="0" fontId="2" fillId="2" borderId="5" xfId="1" applyBorder="1"/>
    <xf numFmtId="0" fontId="2" fillId="2" borderId="6" xfId="1" applyBorder="1"/>
    <xf numFmtId="0" fontId="2" fillId="2" borderId="7" xfId="1" applyBorder="1"/>
    <xf numFmtId="0" fontId="2" fillId="2" borderId="8" xfId="1" applyBorder="1"/>
    <xf numFmtId="2" fontId="1" fillId="0" borderId="1" xfId="0" applyNumberFormat="1" applyFont="1" applyBorder="1" applyAlignment="1">
      <alignment horizontal="center" vertical="top"/>
    </xf>
    <xf numFmtId="2" fontId="2" fillId="2" borderId="0" xfId="1" applyNumberFormat="1"/>
    <xf numFmtId="2" fontId="2" fillId="2" borderId="4" xfId="1" applyNumberFormat="1" applyBorder="1"/>
    <xf numFmtId="2" fontId="2" fillId="2" borderId="7" xfId="1" applyNumberFormat="1" applyBorder="1"/>
    <xf numFmtId="2" fontId="0" fillId="0" borderId="0" xfId="0" applyNumberFormat="1"/>
    <xf numFmtId="0" fontId="3" fillId="0" borderId="0" xfId="0" applyFont="1"/>
    <xf numFmtId="0" fontId="4" fillId="3" borderId="9" xfId="2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Fitted Secant vs Deme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Sheet1!$F$2:$F$102</c:f>
              <c:numCache>
                <c:formatCode>General</c:formatCode>
                <c:ptCount val="101"/>
                <c:pt idx="0">
                  <c:v>5.3555359045276418E-6</c:v>
                </c:pt>
                <c:pt idx="1">
                  <c:v>8.5422470874618739E-6</c:v>
                </c:pt>
                <c:pt idx="2">
                  <c:v>9.2652926468872465E-6</c:v>
                </c:pt>
                <c:pt idx="3">
                  <c:v>1.2053801583533639E-5</c:v>
                </c:pt>
                <c:pt idx="4">
                  <c:v>1.4981729691498909E-5</c:v>
                </c:pt>
                <c:pt idx="5">
                  <c:v>2.491233135515358E-5</c:v>
                </c:pt>
                <c:pt idx="6">
                  <c:v>2.0959972971468229E-5</c:v>
                </c:pt>
                <c:pt idx="7">
                  <c:v>3.1375173421110958E-5</c:v>
                </c:pt>
                <c:pt idx="8">
                  <c:v>3.5167820897186168E-5</c:v>
                </c:pt>
                <c:pt idx="9">
                  <c:v>4.5608339860336862E-5</c:v>
                </c:pt>
                <c:pt idx="10">
                  <c:v>9.7954660304822028E-5</c:v>
                </c:pt>
                <c:pt idx="11">
                  <c:v>6.7063774622511119E-5</c:v>
                </c:pt>
                <c:pt idx="12">
                  <c:v>8.6557003669440746E-5</c:v>
                </c:pt>
                <c:pt idx="13">
                  <c:v>1.109635559259914E-4</c:v>
                </c:pt>
                <c:pt idx="14">
                  <c:v>1.470321585657075E-4</c:v>
                </c:pt>
                <c:pt idx="15">
                  <c:v>1.793150877347216E-4</c:v>
                </c:pt>
                <c:pt idx="16">
                  <c:v>2.3557996610179541E-4</c:v>
                </c:pt>
                <c:pt idx="17">
                  <c:v>3.0343793332576752E-4</c:v>
                </c:pt>
                <c:pt idx="18">
                  <c:v>3.7227064603939652E-4</c:v>
                </c:pt>
                <c:pt idx="19">
                  <c:v>4.6213998575694859E-4</c:v>
                </c:pt>
                <c:pt idx="20">
                  <c:v>5.2124843932688236E-4</c:v>
                </c:pt>
                <c:pt idx="21">
                  <c:v>6.9150049239397049E-4</c:v>
                </c:pt>
                <c:pt idx="22">
                  <c:v>8.8741042418405414E-4</c:v>
                </c:pt>
                <c:pt idx="23">
                  <c:v>1.102049835026264E-3</c:v>
                </c:pt>
                <c:pt idx="24">
                  <c:v>1.315595000050962E-3</c:v>
                </c:pt>
                <c:pt idx="25">
                  <c:v>1.6366974450647831E-3</c:v>
                </c:pt>
                <c:pt idx="26">
                  <c:v>1.9155516056343911E-3</c:v>
                </c:pt>
                <c:pt idx="27">
                  <c:v>2.2003364283591509E-3</c:v>
                </c:pt>
                <c:pt idx="28">
                  <c:v>2.767425030469894E-3</c:v>
                </c:pt>
                <c:pt idx="29">
                  <c:v>3.2203758601099248E-3</c:v>
                </c:pt>
                <c:pt idx="30">
                  <c:v>3.7450545933097601E-3</c:v>
                </c:pt>
                <c:pt idx="31">
                  <c:v>4.4279671274125576E-3</c:v>
                </c:pt>
                <c:pt idx="32">
                  <c:v>5.1063201390206814E-3</c:v>
                </c:pt>
                <c:pt idx="33">
                  <c:v>5.738699808716774E-3</c:v>
                </c:pt>
                <c:pt idx="34">
                  <c:v>6.7103966139256954E-3</c:v>
                </c:pt>
                <c:pt idx="35">
                  <c:v>7.5418823398649693E-3</c:v>
                </c:pt>
                <c:pt idx="36">
                  <c:v>8.3334473893046379E-3</c:v>
                </c:pt>
                <c:pt idx="37">
                  <c:v>9.0668704360723495E-3</c:v>
                </c:pt>
                <c:pt idx="38">
                  <c:v>9.6929138526320457E-3</c:v>
                </c:pt>
                <c:pt idx="39">
                  <c:v>1.081276126205921E-2</c:v>
                </c:pt>
                <c:pt idx="40">
                  <c:v>1.1488994583487511E-2</c:v>
                </c:pt>
                <c:pt idx="41">
                  <c:v>1.190994773060083E-2</c:v>
                </c:pt>
                <c:pt idx="42">
                  <c:v>1.2295607477426531E-2</c:v>
                </c:pt>
                <c:pt idx="43">
                  <c:v>1.2432681396603581E-2</c:v>
                </c:pt>
                <c:pt idx="44">
                  <c:v>1.26158781349659E-2</c:v>
                </c:pt>
                <c:pt idx="45">
                  <c:v>1.269411388784647E-2</c:v>
                </c:pt>
                <c:pt idx="46">
                  <c:v>1.2964128516614441E-2</c:v>
                </c:pt>
                <c:pt idx="47">
                  <c:v>1.2765428982675081E-2</c:v>
                </c:pt>
                <c:pt idx="48">
                  <c:v>1.2908639386296271E-2</c:v>
                </c:pt>
                <c:pt idx="49">
                  <c:v>1.2894016690552229E-2</c:v>
                </c:pt>
                <c:pt idx="50">
                  <c:v>1.2894292362034321E-2</c:v>
                </c:pt>
                <c:pt idx="51">
                  <c:v>1.293347496539354E-2</c:v>
                </c:pt>
                <c:pt idx="52">
                  <c:v>1.287352479994297E-2</c:v>
                </c:pt>
                <c:pt idx="53">
                  <c:v>1.2668830342590811E-2</c:v>
                </c:pt>
                <c:pt idx="54">
                  <c:v>1.2556559406220909E-2</c:v>
                </c:pt>
                <c:pt idx="55">
                  <c:v>1.239069830626249E-2</c:v>
                </c:pt>
                <c:pt idx="56">
                  <c:v>1.208715792745352E-2</c:v>
                </c:pt>
                <c:pt idx="57">
                  <c:v>1.1716962791979309E-2</c:v>
                </c:pt>
                <c:pt idx="58">
                  <c:v>1.1121031828224661E-2</c:v>
                </c:pt>
                <c:pt idx="59">
                  <c:v>9.9135348573327065E-3</c:v>
                </c:pt>
                <c:pt idx="60">
                  <c:v>9.1216601431369781E-3</c:v>
                </c:pt>
                <c:pt idx="61">
                  <c:v>8.6211152374744415E-3</c:v>
                </c:pt>
                <c:pt idx="62">
                  <c:v>8.0162491649389267E-3</c:v>
                </c:pt>
                <c:pt idx="63">
                  <c:v>7.1941041387617588E-3</c:v>
                </c:pt>
                <c:pt idx="64">
                  <c:v>6.418637465685606E-3</c:v>
                </c:pt>
                <c:pt idx="65">
                  <c:v>5.5512646213173866E-3</c:v>
                </c:pt>
                <c:pt idx="66">
                  <c:v>4.971642978489399E-3</c:v>
                </c:pt>
                <c:pt idx="67">
                  <c:v>4.4020856730639926E-3</c:v>
                </c:pt>
                <c:pt idx="68">
                  <c:v>3.7427872885018591E-3</c:v>
                </c:pt>
                <c:pt idx="69">
                  <c:v>3.306543687358499E-3</c:v>
                </c:pt>
                <c:pt idx="70">
                  <c:v>2.928940579295158E-3</c:v>
                </c:pt>
                <c:pt idx="71">
                  <c:v>2.5045967195183039E-3</c:v>
                </c:pt>
                <c:pt idx="72">
                  <c:v>2.1619985345751051E-3</c:v>
                </c:pt>
                <c:pt idx="73">
                  <c:v>1.9356720149517059E-3</c:v>
                </c:pt>
                <c:pt idx="74">
                  <c:v>1.749545917846262E-3</c:v>
                </c:pt>
                <c:pt idx="75">
                  <c:v>1.475372700951993E-3</c:v>
                </c:pt>
                <c:pt idx="76">
                  <c:v>1.4161261497065421E-3</c:v>
                </c:pt>
                <c:pt idx="77">
                  <c:v>1.2568847741931679E-3</c:v>
                </c:pt>
                <c:pt idx="78">
                  <c:v>1.2549993116408591E-3</c:v>
                </c:pt>
                <c:pt idx="79">
                  <c:v>1.152220065705478E-3</c:v>
                </c:pt>
                <c:pt idx="80">
                  <c:v>1.122568035498261E-3</c:v>
                </c:pt>
                <c:pt idx="81">
                  <c:v>1.1722173076122999E-3</c:v>
                </c:pt>
                <c:pt idx="82">
                  <c:v>1.211138325743377E-3</c:v>
                </c:pt>
                <c:pt idx="83">
                  <c:v>1.278836745768785E-3</c:v>
                </c:pt>
                <c:pt idx="84">
                  <c:v>1.344336313195527E-3</c:v>
                </c:pt>
                <c:pt idx="85">
                  <c:v>1.5202244976535439E-3</c:v>
                </c:pt>
                <c:pt idx="86">
                  <c:v>1.669995253905654E-3</c:v>
                </c:pt>
                <c:pt idx="87">
                  <c:v>1.9382953178137541E-3</c:v>
                </c:pt>
                <c:pt idx="88">
                  <c:v>2.1405306179076429E-3</c:v>
                </c:pt>
                <c:pt idx="89">
                  <c:v>2.622093772515655E-3</c:v>
                </c:pt>
                <c:pt idx="90">
                  <c:v>3.0820043757557869E-3</c:v>
                </c:pt>
                <c:pt idx="91">
                  <c:v>3.5621318966150279E-3</c:v>
                </c:pt>
                <c:pt idx="92">
                  <c:v>4.3005542829632759E-3</c:v>
                </c:pt>
                <c:pt idx="93">
                  <c:v>5.0168195739388466E-3</c:v>
                </c:pt>
                <c:pt idx="94">
                  <c:v>5.8587524108588704E-3</c:v>
                </c:pt>
                <c:pt idx="95">
                  <c:v>7.0040496066212654E-3</c:v>
                </c:pt>
                <c:pt idx="96">
                  <c:v>8.1189507618546486E-3</c:v>
                </c:pt>
                <c:pt idx="97">
                  <c:v>9.36083123087883E-3</c:v>
                </c:pt>
                <c:pt idx="98">
                  <c:v>1.0850341059267519E-2</c:v>
                </c:pt>
                <c:pt idx="99">
                  <c:v>1.1864723637700079E-2</c:v>
                </c:pt>
                <c:pt idx="100">
                  <c:v>1.258540060371161E-2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0-49C6-89B8-7BE8DD5B8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916224"/>
        <c:axId val="410937328"/>
      </c:scatterChart>
      <c:valAx>
        <c:axId val="190091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37328"/>
        <c:crosses val="autoZero"/>
        <c:crossBetween val="midCat"/>
      </c:valAx>
      <c:valAx>
        <c:axId val="4109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91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85</xdr:row>
      <xdr:rowOff>57150</xdr:rowOff>
    </xdr:from>
    <xdr:to>
      <xdr:col>14</xdr:col>
      <xdr:colOff>609600</xdr:colOff>
      <xdr:row>104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5FFBA-09EE-E193-80AE-5B8C3C3A0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workbookViewId="0">
      <pane ySplit="1" topLeftCell="A78" activePane="bottomLeft" state="frozen"/>
      <selection pane="bottomLeft" activeCell="E84" sqref="E84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" style="14" bestFit="1" customWidth="1"/>
    <col min="4" max="5" width="12" bestFit="1" customWidth="1"/>
    <col min="6" max="6" width="14.7109375" bestFit="1" customWidth="1"/>
    <col min="7" max="7" width="14.85546875" bestFit="1" customWidth="1"/>
    <col min="8" max="8" width="10.28515625" bestFit="1" customWidth="1"/>
    <col min="9" max="9" width="10.5703125" bestFit="1" customWidth="1"/>
    <col min="10" max="11" width="12" bestFit="1" customWidth="1"/>
    <col min="12" max="12" width="12.28515625" bestFit="1" customWidth="1"/>
    <col min="13" max="13" width="14.85546875" bestFit="1" customWidth="1"/>
    <col min="14" max="14" width="18.140625" bestFit="1" customWidth="1"/>
    <col min="15" max="15" width="12.85546875" bestFit="1" customWidth="1"/>
    <col min="16" max="16" width="12.28515625" bestFit="1" customWidth="1"/>
    <col min="17" max="17" width="18.7109375" customWidth="1"/>
    <col min="18" max="18" width="8.85546875" customWidth="1"/>
    <col min="19" max="19" width="24.140625" bestFit="1" customWidth="1"/>
  </cols>
  <sheetData>
    <row r="1" spans="1:19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2" t="s">
        <v>16</v>
      </c>
      <c r="S1" s="2" t="s">
        <v>17</v>
      </c>
    </row>
    <row r="2" spans="1:19" x14ac:dyDescent="0.25">
      <c r="A2" s="3">
        <v>1</v>
      </c>
      <c r="B2" s="3">
        <v>6.8255138645384933E-2</v>
      </c>
      <c r="C2" s="11">
        <v>19798</v>
      </c>
      <c r="D2" s="3">
        <v>6.791369616985321E-2</v>
      </c>
      <c r="E2" s="3">
        <v>1.4864804143144279E-6</v>
      </c>
      <c r="F2" s="3">
        <v>5.3555359045276418E-6</v>
      </c>
      <c r="G2" s="3" t="b">
        <v>1</v>
      </c>
      <c r="H2" s="3">
        <v>18750</v>
      </c>
      <c r="I2" s="3">
        <v>20000</v>
      </c>
      <c r="J2" s="3">
        <v>0.54794478416442871</v>
      </c>
      <c r="K2" s="3">
        <v>0.30024346709251398</v>
      </c>
      <c r="L2" s="3">
        <v>1.464444035152205E-3</v>
      </c>
      <c r="M2" s="3">
        <v>2.928887959569693E-3</v>
      </c>
      <c r="N2" s="3">
        <v>3.4144247553172252E-4</v>
      </c>
      <c r="O2" s="3">
        <v>4358169755.7334356</v>
      </c>
      <c r="P2" s="3">
        <v>100</v>
      </c>
      <c r="Q2" s="3">
        <v>140000</v>
      </c>
      <c r="R2" t="b">
        <v>1</v>
      </c>
      <c r="S2">
        <f>(N2/B2)*100</f>
        <v>0.50024435127978328</v>
      </c>
    </row>
    <row r="3" spans="1:19" x14ac:dyDescent="0.25">
      <c r="A3" s="4">
        <v>2</v>
      </c>
      <c r="B3" s="5">
        <v>7.7261312811500088E-2</v>
      </c>
      <c r="C3" s="12">
        <v>16863</v>
      </c>
      <c r="D3" s="5">
        <v>7.7584207057952881E-2</v>
      </c>
      <c r="E3" s="5">
        <v>8.8020700786728412E-5</v>
      </c>
      <c r="F3" s="5">
        <v>8.5422470874618739E-6</v>
      </c>
      <c r="G3" s="5" t="b">
        <v>0</v>
      </c>
      <c r="H3" s="5">
        <v>15500</v>
      </c>
      <c r="I3" s="5">
        <v>17500</v>
      </c>
      <c r="J3" s="5">
        <v>0.54857140779495239</v>
      </c>
      <c r="K3" s="5">
        <v>0.30093061923980707</v>
      </c>
      <c r="L3" s="5">
        <v>1.734735107877096E-3</v>
      </c>
      <c r="M3" s="5">
        <v>3.4694704227149491E-3</v>
      </c>
      <c r="N3" s="5">
        <v>3.2289424645279291E-4</v>
      </c>
      <c r="O3" s="5">
        <v>10000000</v>
      </c>
      <c r="P3" s="5">
        <v>100</v>
      </c>
      <c r="Q3" s="6">
        <v>100000</v>
      </c>
      <c r="R3" t="b">
        <v>1</v>
      </c>
      <c r="S3">
        <f t="shared" ref="S3:S66" si="0">(N3/B3)*100</f>
        <v>0.4179248768922435</v>
      </c>
    </row>
    <row r="4" spans="1:19" x14ac:dyDescent="0.25">
      <c r="A4" s="4">
        <v>3</v>
      </c>
      <c r="B4" s="5">
        <v>8.7437268462869769E-2</v>
      </c>
      <c r="C4" s="12">
        <v>14373</v>
      </c>
      <c r="D4" s="5">
        <v>8.690556138753891E-2</v>
      </c>
      <c r="E4" s="5">
        <v>1.038558093569009E-5</v>
      </c>
      <c r="F4" s="5">
        <v>9.2652926468872465E-6</v>
      </c>
      <c r="G4" s="5" t="b">
        <v>1</v>
      </c>
      <c r="H4" s="5">
        <v>13500</v>
      </c>
      <c r="I4" s="5">
        <v>15500</v>
      </c>
      <c r="J4" s="5">
        <v>0.55228227376937866</v>
      </c>
      <c r="K4" s="5">
        <v>0.3050156831741333</v>
      </c>
      <c r="L4" s="5">
        <v>2.25468294119844E-3</v>
      </c>
      <c r="M4" s="5">
        <v>4.509365651756525E-3</v>
      </c>
      <c r="N4" s="5">
        <v>5.3170707533085892E-4</v>
      </c>
      <c r="O4" s="5">
        <v>182012721.6058045</v>
      </c>
      <c r="P4" s="5">
        <v>100</v>
      </c>
      <c r="Q4" s="6">
        <v>60000</v>
      </c>
      <c r="R4" t="b">
        <v>1</v>
      </c>
      <c r="S4">
        <f t="shared" si="0"/>
        <v>0.60810119606681023</v>
      </c>
    </row>
    <row r="5" spans="1:19" x14ac:dyDescent="0.25">
      <c r="A5" s="7">
        <v>4</v>
      </c>
      <c r="B5" s="8">
        <v>9.8929739735079153E-2</v>
      </c>
      <c r="C5" s="13">
        <v>12427</v>
      </c>
      <c r="D5" s="8">
        <v>9.884999692440033E-2</v>
      </c>
      <c r="E5" s="8">
        <v>8.857553439156618E-6</v>
      </c>
      <c r="F5" s="8">
        <v>1.2053801583533639E-5</v>
      </c>
      <c r="G5" s="8" t="b">
        <v>1</v>
      </c>
      <c r="H5" s="8">
        <v>11500</v>
      </c>
      <c r="I5" s="8">
        <v>13500</v>
      </c>
      <c r="J5" s="8">
        <v>0.54910850524902344</v>
      </c>
      <c r="K5" s="8">
        <v>0.30152013897895807</v>
      </c>
      <c r="L5" s="8">
        <v>1.7364335591574379E-3</v>
      </c>
      <c r="M5" s="8">
        <v>3.472867188975215E-3</v>
      </c>
      <c r="N5" s="8">
        <v>7.9742810678823384E-5</v>
      </c>
      <c r="O5" s="8">
        <v>53770237.375592373</v>
      </c>
      <c r="P5" s="8">
        <v>100</v>
      </c>
      <c r="Q5" s="9">
        <v>100000</v>
      </c>
      <c r="R5" t="b">
        <v>1</v>
      </c>
      <c r="S5">
        <f t="shared" si="0"/>
        <v>8.0605499309271564E-2</v>
      </c>
    </row>
    <row r="6" spans="1:19" x14ac:dyDescent="0.25">
      <c r="A6" s="7">
        <v>5</v>
      </c>
      <c r="B6" s="8">
        <v>0.1119024130228327</v>
      </c>
      <c r="C6" s="13">
        <v>10704</v>
      </c>
      <c r="D6" s="8">
        <v>0.1120605692267418</v>
      </c>
      <c r="E6" s="8">
        <v>3.2323625873686979E-6</v>
      </c>
      <c r="F6" s="8">
        <v>1.4981729691498909E-5</v>
      </c>
      <c r="G6" s="8" t="b">
        <v>1</v>
      </c>
      <c r="H6" s="8">
        <v>9500</v>
      </c>
      <c r="I6" s="8">
        <v>11500</v>
      </c>
      <c r="J6" s="8">
        <v>0.54890286922454834</v>
      </c>
      <c r="K6" s="8">
        <v>0.30129438638687128</v>
      </c>
      <c r="L6" s="8">
        <v>1.735783280951114E-3</v>
      </c>
      <c r="M6" s="8">
        <v>3.471566596999764E-3</v>
      </c>
      <c r="N6" s="8">
        <v>1.5815620390913221E-4</v>
      </c>
      <c r="O6" s="8">
        <v>835367082.5790813</v>
      </c>
      <c r="P6" s="8">
        <v>100</v>
      </c>
      <c r="Q6" s="9">
        <v>100000</v>
      </c>
      <c r="R6" t="b">
        <v>1</v>
      </c>
      <c r="S6">
        <f t="shared" si="0"/>
        <v>0.14133404243647707</v>
      </c>
    </row>
    <row r="7" spans="1:19" x14ac:dyDescent="0.25">
      <c r="A7" s="4">
        <v>6</v>
      </c>
      <c r="B7" s="5">
        <v>0.12653747766179149</v>
      </c>
      <c r="C7" s="12">
        <v>9137</v>
      </c>
      <c r="D7" s="5">
        <v>0.1270018815994263</v>
      </c>
      <c r="E7" s="5">
        <v>1.2833184882765639E-5</v>
      </c>
      <c r="F7" s="5">
        <v>2.491233135515358E-5</v>
      </c>
      <c r="G7" s="5" t="b">
        <v>1</v>
      </c>
      <c r="H7" s="5">
        <v>8750</v>
      </c>
      <c r="I7" s="5">
        <v>9500</v>
      </c>
      <c r="J7" s="5">
        <v>0.54802572727203369</v>
      </c>
      <c r="K7" s="5">
        <v>0.30033221840858459</v>
      </c>
      <c r="L7" s="5">
        <v>1.225422779599028E-3</v>
      </c>
      <c r="M7" s="5">
        <v>2.4508456699550152E-3</v>
      </c>
      <c r="N7" s="5">
        <v>4.6440393763474969E-4</v>
      </c>
      <c r="O7" s="5">
        <v>2517626.3915968859</v>
      </c>
      <c r="P7" s="5">
        <v>100</v>
      </c>
      <c r="Q7" s="6">
        <v>200000</v>
      </c>
      <c r="R7" t="b">
        <v>1</v>
      </c>
      <c r="S7">
        <f t="shared" si="0"/>
        <v>0.36700900493370464</v>
      </c>
    </row>
    <row r="8" spans="1:19" x14ac:dyDescent="0.25">
      <c r="A8" s="7">
        <v>7</v>
      </c>
      <c r="B8" s="8">
        <v>0.14303719980762769</v>
      </c>
      <c r="C8" s="13">
        <v>8009</v>
      </c>
      <c r="D8" s="8">
        <v>0.1426205039024353</v>
      </c>
      <c r="E8" s="8">
        <v>7.3540354605938774E-6</v>
      </c>
      <c r="F8" s="8">
        <v>2.0959972971468229E-5</v>
      </c>
      <c r="G8" s="8" t="b">
        <v>1</v>
      </c>
      <c r="H8" s="8">
        <v>7250</v>
      </c>
      <c r="I8" s="8">
        <v>8250</v>
      </c>
      <c r="J8" s="8">
        <v>0.54907357692718506</v>
      </c>
      <c r="K8" s="8">
        <v>0.30148178339004522</v>
      </c>
      <c r="L8" s="8">
        <v>1.227765842658146E-3</v>
      </c>
      <c r="M8" s="8">
        <v>2.455531619489193E-3</v>
      </c>
      <c r="N8" s="8">
        <v>4.1669590519238803E-4</v>
      </c>
      <c r="O8" s="8">
        <v>2222893.248628262</v>
      </c>
      <c r="P8" s="8">
        <v>100</v>
      </c>
      <c r="Q8" s="9">
        <v>200000</v>
      </c>
      <c r="R8" t="b">
        <v>1</v>
      </c>
      <c r="S8">
        <f t="shared" si="0"/>
        <v>0.29131995435649394</v>
      </c>
    </row>
    <row r="9" spans="1:19" x14ac:dyDescent="0.25">
      <c r="A9" s="7">
        <v>8</v>
      </c>
      <c r="B9" s="8">
        <v>0.1616254787212342</v>
      </c>
      <c r="C9" s="13">
        <v>6909</v>
      </c>
      <c r="D9" s="8">
        <v>0.1617928892374039</v>
      </c>
      <c r="E9" s="8">
        <v>2.2656438147805599E-7</v>
      </c>
      <c r="F9" s="8">
        <v>3.1375173421110958E-5</v>
      </c>
      <c r="G9" s="8" t="b">
        <v>1</v>
      </c>
      <c r="H9" s="8">
        <v>6250</v>
      </c>
      <c r="I9" s="8">
        <v>7250</v>
      </c>
      <c r="J9" s="8">
        <v>0.55034726858139038</v>
      </c>
      <c r="K9" s="8">
        <v>0.30288213491439819</v>
      </c>
      <c r="L9" s="8">
        <v>1.1233916577990449E-3</v>
      </c>
      <c r="M9" s="8">
        <v>2.246783347800374E-3</v>
      </c>
      <c r="N9" s="8">
        <v>1.6741051616966929E-4</v>
      </c>
      <c r="O9" s="8">
        <v>126980707.6534635</v>
      </c>
      <c r="P9" s="8">
        <v>100</v>
      </c>
      <c r="Q9" s="9">
        <v>240000</v>
      </c>
      <c r="R9" t="b">
        <v>1</v>
      </c>
      <c r="S9">
        <f t="shared" si="0"/>
        <v>0.10357928557688167</v>
      </c>
    </row>
    <row r="10" spans="1:19" x14ac:dyDescent="0.25">
      <c r="A10" s="7">
        <v>9</v>
      </c>
      <c r="B10" s="8">
        <v>0.1825493302612313</v>
      </c>
      <c r="C10" s="13">
        <v>5977</v>
      </c>
      <c r="D10" s="8">
        <v>0.18354858458042139</v>
      </c>
      <c r="E10" s="8">
        <v>3.2813471761983243E-7</v>
      </c>
      <c r="F10" s="8">
        <v>3.5167820897186168E-5</v>
      </c>
      <c r="G10" s="8" t="b">
        <v>1</v>
      </c>
      <c r="H10" s="8">
        <v>5250</v>
      </c>
      <c r="I10" s="8">
        <v>6250</v>
      </c>
      <c r="J10" s="8">
        <v>0.54833275079727173</v>
      </c>
      <c r="K10" s="8">
        <v>0.30066877603530878</v>
      </c>
      <c r="L10" s="8">
        <v>7.6040071115991573E-4</v>
      </c>
      <c r="M10" s="8">
        <v>1.520801451988518E-3</v>
      </c>
      <c r="N10" s="3">
        <v>7.2856512355887193E-4</v>
      </c>
      <c r="O10" s="8">
        <v>5053463.1062353067</v>
      </c>
      <c r="P10" s="8">
        <v>100</v>
      </c>
      <c r="Q10" s="9">
        <v>520000</v>
      </c>
      <c r="R10" t="b">
        <v>1</v>
      </c>
      <c r="S10">
        <f t="shared" si="0"/>
        <v>0.39910588689439858</v>
      </c>
    </row>
    <row r="11" spans="1:19" x14ac:dyDescent="0.25">
      <c r="A11" s="7">
        <v>10</v>
      </c>
      <c r="B11" s="8">
        <v>0.20608022489221051</v>
      </c>
      <c r="C11" s="13">
        <v>5238</v>
      </c>
      <c r="D11" s="8">
        <v>0.20641706883907321</v>
      </c>
      <c r="E11" s="8">
        <v>6.6838879320130218E-6</v>
      </c>
      <c r="F11" s="8">
        <v>4.5608339860336862E-5</v>
      </c>
      <c r="G11" s="8" t="b">
        <v>1</v>
      </c>
      <c r="H11" s="8">
        <v>4750</v>
      </c>
      <c r="I11" s="8">
        <v>5750</v>
      </c>
      <c r="J11" s="8">
        <v>0.5483708381652832</v>
      </c>
      <c r="K11" s="8">
        <v>0.30071058869361877</v>
      </c>
      <c r="L11" s="8">
        <v>1.583010255152335E-3</v>
      </c>
      <c r="M11" s="8">
        <v>3.1660206150263548E-3</v>
      </c>
      <c r="N11" s="8">
        <v>3.3684394686264718E-4</v>
      </c>
      <c r="O11" s="8">
        <v>48074134.203578062</v>
      </c>
      <c r="P11" s="8">
        <v>100</v>
      </c>
      <c r="Q11" s="9">
        <v>120000</v>
      </c>
      <c r="R11" t="b">
        <v>1</v>
      </c>
      <c r="S11">
        <f t="shared" si="0"/>
        <v>0.16345282379172099</v>
      </c>
    </row>
    <row r="12" spans="1:19" x14ac:dyDescent="0.25">
      <c r="A12" s="3">
        <v>11</v>
      </c>
      <c r="B12" s="3">
        <v>0.23251518669686461</v>
      </c>
      <c r="C12" s="11">
        <v>4579.56005859375</v>
      </c>
      <c r="D12" s="3">
        <v>0.23317898809909821</v>
      </c>
      <c r="E12" s="3">
        <v>7.2735993228434381E-8</v>
      </c>
      <c r="F12" s="3">
        <v>9.7954660304822028E-5</v>
      </c>
      <c r="G12" s="3" t="b">
        <v>1</v>
      </c>
      <c r="H12" s="3">
        <v>4475</v>
      </c>
      <c r="I12" s="3">
        <v>4625</v>
      </c>
      <c r="J12" s="3">
        <v>0.54742205142974854</v>
      </c>
      <c r="K12" s="3">
        <v>0.29967087507247919</v>
      </c>
      <c r="L12" s="3">
        <v>1.7311005239198389E-3</v>
      </c>
      <c r="M12" s="3">
        <v>3.4622012171894312E-3</v>
      </c>
      <c r="N12" s="3">
        <v>6.6380140223357142E-4</v>
      </c>
      <c r="O12" s="3">
        <v>9770596.3247689418</v>
      </c>
      <c r="P12" s="3">
        <v>100</v>
      </c>
      <c r="Q12" s="3">
        <v>100000</v>
      </c>
      <c r="R12" t="b">
        <v>1</v>
      </c>
      <c r="S12">
        <f t="shared" si="0"/>
        <v>0.28548733167222518</v>
      </c>
    </row>
    <row r="13" spans="1:19" x14ac:dyDescent="0.25">
      <c r="A13" s="7">
        <v>12</v>
      </c>
      <c r="B13" s="8">
        <v>0.26217753565747121</v>
      </c>
      <c r="C13" s="13">
        <v>4017</v>
      </c>
      <c r="D13" s="8">
        <v>0.26168420910835272</v>
      </c>
      <c r="E13" s="8">
        <v>3.8433540794358118E-7</v>
      </c>
      <c r="F13" s="8">
        <v>6.7063774622511119E-5</v>
      </c>
      <c r="G13" s="8" t="b">
        <v>1</v>
      </c>
      <c r="H13" s="8">
        <v>3250</v>
      </c>
      <c r="I13" s="8">
        <v>4250</v>
      </c>
      <c r="J13" s="8">
        <v>0.54734569787979126</v>
      </c>
      <c r="K13" s="8">
        <v>0.29958733916282648</v>
      </c>
      <c r="L13" s="8">
        <v>1.1669449488213299E-3</v>
      </c>
      <c r="M13" s="8">
        <v>2.3338899482041602E-3</v>
      </c>
      <c r="N13" s="8">
        <v>4.9332654911848905E-4</v>
      </c>
      <c r="O13" s="8">
        <v>6948227.5742930649</v>
      </c>
      <c r="P13" s="8">
        <v>100</v>
      </c>
      <c r="Q13" s="9">
        <v>220000</v>
      </c>
      <c r="R13" t="b">
        <v>1</v>
      </c>
      <c r="S13">
        <f t="shared" si="0"/>
        <v>0.1881650721452385</v>
      </c>
    </row>
    <row r="14" spans="1:19" x14ac:dyDescent="0.25">
      <c r="A14" s="4">
        <v>13</v>
      </c>
      <c r="B14" s="5">
        <v>0.29541712804948039</v>
      </c>
      <c r="C14" s="12">
        <v>3520</v>
      </c>
      <c r="D14" s="5">
        <v>0.29488134384155268</v>
      </c>
      <c r="E14" s="5">
        <v>2.0747364033013579E-5</v>
      </c>
      <c r="F14" s="5">
        <v>8.6557003669440746E-5</v>
      </c>
      <c r="G14" s="5" t="b">
        <v>1</v>
      </c>
      <c r="H14" s="5">
        <v>3250</v>
      </c>
      <c r="I14" s="5">
        <v>4250</v>
      </c>
      <c r="J14" s="5">
        <v>0.54577392339706421</v>
      </c>
      <c r="K14" s="5">
        <v>0.29786917567253107</v>
      </c>
      <c r="L14" s="5">
        <v>1.7258886854609841E-3</v>
      </c>
      <c r="M14" s="5">
        <v>3.4517776221036911E-3</v>
      </c>
      <c r="N14" s="5">
        <v>5.3578420792765868E-4</v>
      </c>
      <c r="O14" s="5">
        <v>4171051.896944467</v>
      </c>
      <c r="P14" s="5">
        <v>100</v>
      </c>
      <c r="Q14" s="6">
        <v>100000</v>
      </c>
      <c r="R14" t="b">
        <v>1</v>
      </c>
      <c r="S14">
        <f t="shared" si="0"/>
        <v>0.18136531604149858</v>
      </c>
    </row>
    <row r="15" spans="1:19" x14ac:dyDescent="0.25">
      <c r="A15" s="7">
        <v>14</v>
      </c>
      <c r="B15" s="8">
        <v>0.33260991979033733</v>
      </c>
      <c r="C15" s="13">
        <v>3095</v>
      </c>
      <c r="D15" s="8">
        <v>0.33310297131538391</v>
      </c>
      <c r="E15" s="8">
        <v>1.608051206858363E-5</v>
      </c>
      <c r="F15" s="8">
        <v>1.109635559259914E-4</v>
      </c>
      <c r="G15" s="8" t="b">
        <v>1</v>
      </c>
      <c r="H15" s="8">
        <v>2750</v>
      </c>
      <c r="I15" s="8">
        <v>3750</v>
      </c>
      <c r="J15" s="8">
        <v>0.54862445592880249</v>
      </c>
      <c r="K15" s="8">
        <v>0.30098879337310791</v>
      </c>
      <c r="L15" s="8">
        <v>1.1198749811980029E-3</v>
      </c>
      <c r="M15" s="8">
        <v>2.2397499997168779E-3</v>
      </c>
      <c r="N15" s="8">
        <v>4.9305152504663941E-4</v>
      </c>
      <c r="O15" s="8">
        <v>16243112.95374831</v>
      </c>
      <c r="P15" s="8">
        <v>100</v>
      </c>
      <c r="Q15" s="9">
        <v>240000</v>
      </c>
      <c r="R15" t="b">
        <v>1</v>
      </c>
      <c r="S15">
        <f t="shared" si="0"/>
        <v>0.14823716783836074</v>
      </c>
    </row>
    <row r="16" spans="1:19" x14ac:dyDescent="0.25">
      <c r="A16" s="7">
        <v>15</v>
      </c>
      <c r="B16" s="8">
        <v>0.37415664623331951</v>
      </c>
      <c r="C16" s="13">
        <v>2735</v>
      </c>
      <c r="D16" s="8">
        <v>0.37379944324493408</v>
      </c>
      <c r="E16" s="8">
        <v>5.6602090126034448E-8</v>
      </c>
      <c r="F16" s="8">
        <v>1.470321585657075E-4</v>
      </c>
      <c r="G16" s="8" t="b">
        <v>1</v>
      </c>
      <c r="H16" s="8">
        <v>2250</v>
      </c>
      <c r="I16" s="8">
        <v>3250</v>
      </c>
      <c r="J16" s="8">
        <v>0.54861003160476685</v>
      </c>
      <c r="K16" s="8">
        <v>0.30097296833991999</v>
      </c>
      <c r="L16" s="8">
        <v>1.036775507415356E-3</v>
      </c>
      <c r="M16" s="8">
        <v>2.0735510624945159E-3</v>
      </c>
      <c r="N16" s="8">
        <v>3.5720298838537451E-4</v>
      </c>
      <c r="O16" s="8">
        <v>5782096.6497019297</v>
      </c>
      <c r="P16" s="8">
        <v>100</v>
      </c>
      <c r="Q16" s="9">
        <v>280000</v>
      </c>
      <c r="R16" t="b">
        <v>1</v>
      </c>
      <c r="S16">
        <f t="shared" si="0"/>
        <v>9.5468834238648562E-2</v>
      </c>
    </row>
    <row r="17" spans="1:19" x14ac:dyDescent="0.25">
      <c r="A17" s="7">
        <v>16</v>
      </c>
      <c r="B17" s="8">
        <v>0.4204803812220419</v>
      </c>
      <c r="C17" s="13">
        <v>2418</v>
      </c>
      <c r="D17" s="8">
        <v>0.42015156149864202</v>
      </c>
      <c r="E17" s="8">
        <v>4.3501304958226678E-7</v>
      </c>
      <c r="F17" s="8">
        <v>1.793150877347216E-4</v>
      </c>
      <c r="G17" s="8" t="b">
        <v>1</v>
      </c>
      <c r="H17" s="8">
        <v>1750</v>
      </c>
      <c r="I17" s="8">
        <v>2750</v>
      </c>
      <c r="J17" s="8">
        <v>0.54805046319961548</v>
      </c>
      <c r="K17" s="8">
        <v>0.30035927891731262</v>
      </c>
      <c r="L17" s="8">
        <v>7.4580221563057107E-4</v>
      </c>
      <c r="M17" s="8">
        <v>1.4916043728590009E-3</v>
      </c>
      <c r="N17" s="8">
        <v>3.2881972339993132E-4</v>
      </c>
      <c r="O17" s="8">
        <v>5831329.822522331</v>
      </c>
      <c r="P17" s="8">
        <v>100</v>
      </c>
      <c r="Q17" s="9">
        <v>540000</v>
      </c>
      <c r="R17" t="b">
        <v>1</v>
      </c>
      <c r="S17">
        <f t="shared" si="0"/>
        <v>7.8200966819018461E-2</v>
      </c>
    </row>
    <row r="18" spans="1:19" x14ac:dyDescent="0.25">
      <c r="A18" s="7">
        <v>17</v>
      </c>
      <c r="B18" s="8">
        <v>0.47202271129371798</v>
      </c>
      <c r="C18" s="13">
        <v>2137</v>
      </c>
      <c r="D18" s="8">
        <v>0.47170323133468628</v>
      </c>
      <c r="E18" s="8">
        <v>5.634854005620582E-6</v>
      </c>
      <c r="F18" s="8">
        <v>2.3557996610179541E-4</v>
      </c>
      <c r="G18" s="8" t="b">
        <v>1</v>
      </c>
      <c r="H18" s="8">
        <v>1750</v>
      </c>
      <c r="I18" s="8">
        <v>2750</v>
      </c>
      <c r="J18" s="8">
        <v>0.54796117544174194</v>
      </c>
      <c r="K18" s="8">
        <v>0.30026146769523621</v>
      </c>
      <c r="L18" s="8">
        <v>8.0792467604067213E-4</v>
      </c>
      <c r="M18" s="8">
        <v>1.6158494399860499E-3</v>
      </c>
      <c r="N18" s="8">
        <v>3.1947995903169879E-4</v>
      </c>
      <c r="O18" s="8">
        <v>900934.65870304138</v>
      </c>
      <c r="P18" s="8">
        <v>100</v>
      </c>
      <c r="Q18" s="9">
        <v>460000</v>
      </c>
      <c r="R18" t="b">
        <v>1</v>
      </c>
      <c r="S18">
        <f t="shared" si="0"/>
        <v>6.7683175276899155E-2</v>
      </c>
    </row>
    <row r="19" spans="1:19" x14ac:dyDescent="0.25">
      <c r="A19" s="4">
        <v>18</v>
      </c>
      <c r="B19" s="5">
        <v>0.52923824204825332</v>
      </c>
      <c r="C19" s="12">
        <v>1883</v>
      </c>
      <c r="D19" s="5">
        <v>0.52974724769592285</v>
      </c>
      <c r="E19" s="5">
        <v>5.1842616812791684E-6</v>
      </c>
      <c r="F19" s="5">
        <v>3.0343793332576752E-4</v>
      </c>
      <c r="G19" s="5" t="b">
        <v>1</v>
      </c>
      <c r="H19" s="5">
        <v>1250</v>
      </c>
      <c r="I19" s="5">
        <v>2250</v>
      </c>
      <c r="J19" s="5">
        <v>0.54753077030181885</v>
      </c>
      <c r="K19" s="5">
        <v>0.29978996515274048</v>
      </c>
      <c r="L19" s="5">
        <v>7.4509500317359873E-4</v>
      </c>
      <c r="M19" s="5">
        <v>1.4901900431141259E-3</v>
      </c>
      <c r="N19" s="5">
        <v>5.0900564766953593E-4</v>
      </c>
      <c r="O19" s="5">
        <v>169699.3904836897</v>
      </c>
      <c r="P19" s="5">
        <v>100</v>
      </c>
      <c r="Q19" s="6">
        <v>540000</v>
      </c>
      <c r="R19" t="b">
        <v>1</v>
      </c>
      <c r="S19">
        <f t="shared" si="0"/>
        <v>9.6177034694164693E-2</v>
      </c>
    </row>
    <row r="20" spans="1:19" x14ac:dyDescent="0.25">
      <c r="A20" s="7">
        <v>19</v>
      </c>
      <c r="B20" s="8">
        <v>0.59258714857726547</v>
      </c>
      <c r="C20" s="13">
        <v>1677</v>
      </c>
      <c r="D20" s="8">
        <v>0.59311950206756592</v>
      </c>
      <c r="E20" s="8">
        <v>4.4358569084579358E-7</v>
      </c>
      <c r="F20" s="8">
        <v>3.7227064603939652E-4</v>
      </c>
      <c r="G20" s="8" t="b">
        <v>1</v>
      </c>
      <c r="H20" s="8">
        <v>1250</v>
      </c>
      <c r="I20" s="8">
        <v>2250</v>
      </c>
      <c r="J20" s="8">
        <v>0.54768466949462891</v>
      </c>
      <c r="K20" s="8">
        <v>0.2999584972858429</v>
      </c>
      <c r="L20" s="8">
        <v>9.1280778249104816E-4</v>
      </c>
      <c r="M20" s="8">
        <v>1.825615530833602E-3</v>
      </c>
      <c r="N20" s="8">
        <v>5.3235349030045231E-4</v>
      </c>
      <c r="O20" s="8">
        <v>1352956.0410496821</v>
      </c>
      <c r="P20" s="8">
        <v>100</v>
      </c>
      <c r="Q20" s="9">
        <v>360000</v>
      </c>
      <c r="R20" t="b">
        <v>1</v>
      </c>
      <c r="S20">
        <f t="shared" si="0"/>
        <v>8.9835476786591248E-2</v>
      </c>
    </row>
    <row r="21" spans="1:19" x14ac:dyDescent="0.25">
      <c r="A21" s="4">
        <v>20</v>
      </c>
      <c r="B21" s="5">
        <v>0.66252549753599888</v>
      </c>
      <c r="C21" s="12">
        <v>1495</v>
      </c>
      <c r="D21" s="5">
        <v>0.66226661205291748</v>
      </c>
      <c r="E21" s="5">
        <v>1.242995892880572E-7</v>
      </c>
      <c r="F21" s="5">
        <v>4.6213998575694859E-4</v>
      </c>
      <c r="G21" s="5" t="b">
        <v>1</v>
      </c>
      <c r="H21" s="5">
        <v>1000</v>
      </c>
      <c r="I21" s="5">
        <v>1750</v>
      </c>
      <c r="J21" s="5">
        <v>0.54668885469436646</v>
      </c>
      <c r="K21" s="5">
        <v>0.29886868596076971</v>
      </c>
      <c r="L21" s="5">
        <v>3.9871382570993741E-4</v>
      </c>
      <c r="M21" s="5">
        <v>7.9742766683921218E-4</v>
      </c>
      <c r="N21" s="5">
        <v>2.588854830813947E-4</v>
      </c>
      <c r="O21" s="5">
        <v>877918.45551437186</v>
      </c>
      <c r="P21" s="5">
        <v>100</v>
      </c>
      <c r="Q21" s="6">
        <v>1880000</v>
      </c>
      <c r="R21" t="b">
        <v>1</v>
      </c>
      <c r="S21">
        <f t="shared" si="0"/>
        <v>3.9075550155309752E-2</v>
      </c>
    </row>
    <row r="22" spans="1:19" x14ac:dyDescent="0.25">
      <c r="A22" s="3">
        <v>21</v>
      </c>
      <c r="B22" s="3">
        <v>0.73949311311490629</v>
      </c>
      <c r="C22" s="11">
        <v>1333.859985351562</v>
      </c>
      <c r="D22" s="3">
        <v>0.73984634876251221</v>
      </c>
      <c r="E22" s="3">
        <v>3.5392261565903032E-7</v>
      </c>
      <c r="F22" s="3">
        <v>5.2124843932688236E-4</v>
      </c>
      <c r="G22" s="3" t="b">
        <v>1</v>
      </c>
      <c r="H22" s="3">
        <v>1275</v>
      </c>
      <c r="I22" s="3">
        <v>1425</v>
      </c>
      <c r="J22" s="3">
        <v>0.54765290021896362</v>
      </c>
      <c r="K22" s="3">
        <v>0.29992368817329412</v>
      </c>
      <c r="L22" s="3">
        <v>1.5809377468194901E-3</v>
      </c>
      <c r="M22" s="3">
        <v>3.1618755310773849E-3</v>
      </c>
      <c r="N22" s="3">
        <v>3.5323564760592058E-4</v>
      </c>
      <c r="O22" s="3">
        <v>460066.35875580867</v>
      </c>
      <c r="P22" s="3">
        <v>100</v>
      </c>
      <c r="Q22" s="3">
        <v>120000</v>
      </c>
      <c r="R22" t="b">
        <v>1</v>
      </c>
      <c r="S22">
        <f t="shared" si="0"/>
        <v>4.7767266704893972E-2</v>
      </c>
    </row>
    <row r="23" spans="1:19" x14ac:dyDescent="0.25">
      <c r="A23" s="7">
        <v>22</v>
      </c>
      <c r="B23" s="8">
        <v>0.82389884146739789</v>
      </c>
      <c r="C23" s="13">
        <v>1192.400024414062</v>
      </c>
      <c r="D23" s="8">
        <v>0.82346981763839722</v>
      </c>
      <c r="E23" s="8">
        <v>1.049324509949656E-6</v>
      </c>
      <c r="F23" s="8">
        <v>6.9150049239397049E-4</v>
      </c>
      <c r="G23" s="8" t="b">
        <v>1</v>
      </c>
      <c r="H23" s="8">
        <v>1050</v>
      </c>
      <c r="I23" s="8">
        <v>1250</v>
      </c>
      <c r="J23" s="8">
        <v>0.54686480760574341</v>
      </c>
      <c r="K23" s="8">
        <v>0.299061119556427</v>
      </c>
      <c r="L23" s="8">
        <v>1.729338364223921E-3</v>
      </c>
      <c r="M23" s="8">
        <v>3.458676859736443E-3</v>
      </c>
      <c r="N23" s="8">
        <v>4.2902382900067432E-4</v>
      </c>
      <c r="O23" s="8">
        <v>392117.55382156838</v>
      </c>
      <c r="P23" s="8">
        <v>100</v>
      </c>
      <c r="Q23" s="9">
        <v>100000</v>
      </c>
      <c r="R23" t="b">
        <v>1</v>
      </c>
      <c r="S23">
        <f t="shared" si="0"/>
        <v>5.2072391343161155E-2</v>
      </c>
    </row>
    <row r="24" spans="1:19" x14ac:dyDescent="0.25">
      <c r="A24" s="4">
        <v>23</v>
      </c>
      <c r="B24" s="5">
        <v>0.91610319604160129</v>
      </c>
      <c r="C24" s="12">
        <v>1072.599975585938</v>
      </c>
      <c r="D24" s="5">
        <v>0.91606009006500244</v>
      </c>
      <c r="E24" s="5">
        <v>7.0510793648281833E-8</v>
      </c>
      <c r="F24" s="5">
        <v>8.8741042418405414E-4</v>
      </c>
      <c r="G24" s="5" t="b">
        <v>1</v>
      </c>
      <c r="H24" s="5">
        <v>950</v>
      </c>
      <c r="I24" s="5">
        <v>1150</v>
      </c>
      <c r="J24" s="5">
        <v>0.54583948850631714</v>
      </c>
      <c r="K24" s="5">
        <v>0.29794076085090643</v>
      </c>
      <c r="L24" s="5">
        <v>1.2205342011038401E-3</v>
      </c>
      <c r="M24" s="5">
        <v>2.4410684127360578E-3</v>
      </c>
      <c r="N24" s="5">
        <v>4.3105976598845068E-5</v>
      </c>
      <c r="O24" s="5">
        <v>158730.7108206609</v>
      </c>
      <c r="P24" s="5">
        <v>100</v>
      </c>
      <c r="Q24" s="6">
        <v>200000</v>
      </c>
      <c r="R24" t="b">
        <v>1</v>
      </c>
      <c r="S24">
        <f t="shared" si="0"/>
        <v>4.7053625383146874E-3</v>
      </c>
    </row>
    <row r="25" spans="1:19" x14ac:dyDescent="0.25">
      <c r="A25" s="4">
        <v>24</v>
      </c>
      <c r="B25" s="5">
        <v>1.0163985453103981</v>
      </c>
      <c r="C25" s="12">
        <v>963</v>
      </c>
      <c r="D25" s="5">
        <v>1.017299890518188</v>
      </c>
      <c r="E25" s="5">
        <v>1.415448878105963E-5</v>
      </c>
      <c r="F25" s="5">
        <v>1.102049835026264E-3</v>
      </c>
      <c r="G25" s="5" t="b">
        <v>1</v>
      </c>
      <c r="H25" s="5">
        <v>850</v>
      </c>
      <c r="I25" s="5">
        <v>1050</v>
      </c>
      <c r="J25" s="5">
        <v>0.54618608951568604</v>
      </c>
      <c r="K25" s="5">
        <v>0.2983192503452301</v>
      </c>
      <c r="L25" s="5">
        <v>1.5767034290475521E-3</v>
      </c>
      <c r="M25" s="5">
        <v>3.153407014906406E-3</v>
      </c>
      <c r="N25" s="5">
        <f>D25-B25</f>
        <v>9.0134520778994975E-4</v>
      </c>
      <c r="O25" s="5">
        <v>205843.68164158051</v>
      </c>
      <c r="P25" s="5">
        <v>100</v>
      </c>
      <c r="Q25" s="6">
        <v>120000</v>
      </c>
      <c r="R25" t="b">
        <v>1</v>
      </c>
      <c r="S25">
        <f t="shared" si="0"/>
        <v>8.8680292976480779E-2</v>
      </c>
    </row>
    <row r="26" spans="1:19" x14ac:dyDescent="0.25">
      <c r="A26" s="4">
        <v>25</v>
      </c>
      <c r="B26" s="5">
        <v>1.1249872354644439</v>
      </c>
      <c r="C26" s="5">
        <v>869.20001220703125</v>
      </c>
      <c r="D26" s="5">
        <v>1.125318646430969</v>
      </c>
      <c r="E26" s="5">
        <v>2.5101382561842911E-5</v>
      </c>
      <c r="F26" s="5">
        <v>1.315595000050962E-3</v>
      </c>
      <c r="G26" s="5" t="b">
        <v>1</v>
      </c>
      <c r="H26" s="5">
        <v>750</v>
      </c>
      <c r="I26" s="5">
        <v>950</v>
      </c>
      <c r="J26" s="5">
        <v>0.54351019859313965</v>
      </c>
      <c r="K26" s="5">
        <v>0.29540336132049561</v>
      </c>
      <c r="L26" s="5">
        <v>1.0271377289319821E-3</v>
      </c>
      <c r="M26" s="5">
        <v>2.0542754791676998E-3</v>
      </c>
      <c r="N26" s="5">
        <v>3.314109665248921E-4</v>
      </c>
      <c r="O26" s="5">
        <v>72221.347046929703</v>
      </c>
      <c r="P26" s="5">
        <v>100</v>
      </c>
      <c r="Q26" s="6">
        <v>280000</v>
      </c>
      <c r="R26" t="b">
        <v>1</v>
      </c>
      <c r="S26">
        <f t="shared" si="0"/>
        <v>2.9459086830267114E-2</v>
      </c>
    </row>
    <row r="27" spans="1:19" x14ac:dyDescent="0.25">
      <c r="A27">
        <v>26</v>
      </c>
      <c r="B27">
        <v>1.2419583172375741</v>
      </c>
      <c r="C27" s="14">
        <v>786.5404052734375</v>
      </c>
      <c r="D27">
        <v>1.242001533508301</v>
      </c>
      <c r="E27">
        <f t="shared" ref="E27:E29" si="1">(B27-D27)^2</f>
        <v>1.867646055540535E-9</v>
      </c>
      <c r="F27">
        <v>1.6366974450647831E-3</v>
      </c>
      <c r="G27" t="b">
        <v>1</v>
      </c>
      <c r="H27">
        <v>675</v>
      </c>
      <c r="I27">
        <v>825</v>
      </c>
      <c r="J27">
        <v>0.54871600866317749</v>
      </c>
      <c r="K27">
        <v>0.30108925700187678</v>
      </c>
      <c r="L27">
        <v>3.8800081067134921E-3</v>
      </c>
      <c r="M27">
        <v>7.7600162476301193E-3</v>
      </c>
      <c r="N27">
        <v>4.3216270726897932E-5</v>
      </c>
      <c r="O27">
        <v>4095.449982326561</v>
      </c>
      <c r="P27">
        <v>130</v>
      </c>
      <c r="Q27">
        <v>20000</v>
      </c>
      <c r="R27" t="b">
        <v>1</v>
      </c>
      <c r="S27">
        <f t="shared" si="0"/>
        <v>3.4796876937884459E-3</v>
      </c>
    </row>
    <row r="28" spans="1:19" x14ac:dyDescent="0.25">
      <c r="A28" s="4">
        <v>27</v>
      </c>
      <c r="B28" s="5">
        <v>1.3672638517295399</v>
      </c>
      <c r="C28" s="5">
        <v>714.0999755859375</v>
      </c>
      <c r="D28" s="5">
        <v>1.36687183380127</v>
      </c>
      <c r="E28" s="5">
        <v>8.8824714339352795E-7</v>
      </c>
      <c r="F28" s="5">
        <v>1.9155516056343911E-3</v>
      </c>
      <c r="G28" s="5" t="b">
        <v>1</v>
      </c>
      <c r="H28" s="5">
        <v>650</v>
      </c>
      <c r="I28" s="5">
        <v>850</v>
      </c>
      <c r="J28" s="5">
        <v>0.54211878776550293</v>
      </c>
      <c r="K28" s="5">
        <v>0.29389277100563049</v>
      </c>
      <c r="L28" s="5">
        <v>1.1558011390144041E-3</v>
      </c>
      <c r="M28" s="5">
        <v>2.3116022348403931E-3</v>
      </c>
      <c r="N28" s="5">
        <v>3.9201792827081578E-4</v>
      </c>
      <c r="O28" s="5">
        <v>17033.04541203364</v>
      </c>
      <c r="P28" s="5">
        <v>100</v>
      </c>
      <c r="Q28" s="6">
        <v>220000</v>
      </c>
      <c r="R28" t="b">
        <v>1</v>
      </c>
      <c r="S28">
        <f t="shared" si="0"/>
        <v>2.8671710129316085E-2</v>
      </c>
    </row>
    <row r="29" spans="1:19" x14ac:dyDescent="0.25">
      <c r="A29">
        <v>28</v>
      </c>
      <c r="B29">
        <v>1.500696076675252</v>
      </c>
      <c r="C29" s="14">
        <v>651.10205078125</v>
      </c>
      <c r="D29">
        <v>1.5002703666687009</v>
      </c>
      <c r="E29">
        <f t="shared" si="1"/>
        <v>1.8122900967765719E-7</v>
      </c>
      <c r="F29">
        <v>2.2003364283591509E-3</v>
      </c>
      <c r="G29" t="b">
        <v>1</v>
      </c>
      <c r="H29">
        <v>575</v>
      </c>
      <c r="I29">
        <v>725</v>
      </c>
      <c r="J29">
        <v>0.53850346803665161</v>
      </c>
      <c r="K29">
        <v>0.28998595476150513</v>
      </c>
      <c r="L29">
        <v>3.807794539411896E-3</v>
      </c>
      <c r="M29">
        <v>7.6155890710651866E-3</v>
      </c>
      <c r="N29">
        <v>4.2571000655056151E-4</v>
      </c>
      <c r="O29">
        <v>2086.4572367458418</v>
      </c>
      <c r="P29">
        <v>130</v>
      </c>
      <c r="Q29">
        <v>20000</v>
      </c>
      <c r="R29" t="b">
        <v>1</v>
      </c>
      <c r="S29">
        <f t="shared" si="0"/>
        <v>2.8367503131860618E-2</v>
      </c>
    </row>
    <row r="30" spans="1:19" x14ac:dyDescent="0.25">
      <c r="A30" s="4">
        <v>29</v>
      </c>
      <c r="B30" s="5">
        <v>1.641866982058007</v>
      </c>
      <c r="C30" s="5">
        <v>595.4000244140625</v>
      </c>
      <c r="D30" s="5">
        <v>1.6419694423675539</v>
      </c>
      <c r="E30" s="5">
        <v>3.7988812096045883E-8</v>
      </c>
      <c r="F30" s="5">
        <v>2.767425030469894E-3</v>
      </c>
      <c r="G30" s="5" t="b">
        <v>1</v>
      </c>
      <c r="H30" s="5">
        <v>450</v>
      </c>
      <c r="I30" s="5">
        <v>650</v>
      </c>
      <c r="J30" s="5">
        <v>0.54004651308059692</v>
      </c>
      <c r="K30" s="5">
        <v>0.29165023565292358</v>
      </c>
      <c r="L30" s="5">
        <v>6.4547904280521024E-4</v>
      </c>
      <c r="M30" s="5">
        <v>1.290958025492728E-3</v>
      </c>
      <c r="N30" s="5">
        <v>1.0246030954674799E-4</v>
      </c>
      <c r="O30" s="5">
        <v>16321.432890700011</v>
      </c>
      <c r="P30" s="5">
        <v>100</v>
      </c>
      <c r="Q30" s="6">
        <v>700000</v>
      </c>
      <c r="R30" t="b">
        <v>1</v>
      </c>
      <c r="S30">
        <f t="shared" si="0"/>
        <v>6.2404756698571633E-3</v>
      </c>
    </row>
    <row r="31" spans="1:19" x14ac:dyDescent="0.25">
      <c r="A31" s="4">
        <v>30</v>
      </c>
      <c r="B31" s="5">
        <v>1.7901920231041131</v>
      </c>
      <c r="C31" s="5">
        <v>547.0999755859375</v>
      </c>
      <c r="D31" s="5">
        <v>1.7905030250549321</v>
      </c>
      <c r="E31" s="5">
        <v>8.0293162341149582E-8</v>
      </c>
      <c r="F31" s="5">
        <v>3.2203758601099248E-3</v>
      </c>
      <c r="G31" s="5" t="b">
        <v>1</v>
      </c>
      <c r="H31" s="5">
        <v>450</v>
      </c>
      <c r="I31" s="5">
        <v>650</v>
      </c>
      <c r="J31" s="5">
        <v>0.53896313905715942</v>
      </c>
      <c r="K31" s="5">
        <v>0.29048123955726618</v>
      </c>
      <c r="L31" s="5">
        <v>7.9465779517971433E-4</v>
      </c>
      <c r="M31" s="5">
        <v>1.5893157105892901E-3</v>
      </c>
      <c r="N31" s="5">
        <v>3.1100195081879001E-4</v>
      </c>
      <c r="O31" s="5">
        <v>12053.0480520694</v>
      </c>
      <c r="P31" s="5">
        <v>100</v>
      </c>
      <c r="Q31" s="6">
        <v>460000</v>
      </c>
      <c r="R31" t="b">
        <v>1</v>
      </c>
      <c r="S31">
        <f t="shared" si="0"/>
        <v>1.7372547011997433E-2</v>
      </c>
    </row>
    <row r="32" spans="1:19" x14ac:dyDescent="0.25">
      <c r="A32" s="3">
        <v>31</v>
      </c>
      <c r="B32" s="3">
        <v>1.9448797373273861</v>
      </c>
      <c r="C32" s="11">
        <v>503.97000122070313</v>
      </c>
      <c r="D32" s="3">
        <v>1.9447906017303469</v>
      </c>
      <c r="E32" s="3">
        <v>2.5283276272602961E-7</v>
      </c>
      <c r="F32" s="3">
        <v>3.7450545933097601E-3</v>
      </c>
      <c r="G32" s="3" t="b">
        <v>1</v>
      </c>
      <c r="H32" s="3">
        <v>487.5</v>
      </c>
      <c r="I32" s="3">
        <v>562.5</v>
      </c>
      <c r="J32" s="3">
        <v>0.54014492034912109</v>
      </c>
      <c r="K32" s="3">
        <v>0.29175651073455811</v>
      </c>
      <c r="L32" s="3">
        <v>1.7080882148734541E-3</v>
      </c>
      <c r="M32" s="3">
        <v>3.4161766525357962E-3</v>
      </c>
      <c r="N32" s="3">
        <v>8.9135597038936254E-5</v>
      </c>
      <c r="O32" s="3">
        <v>3564.952095742784</v>
      </c>
      <c r="P32" s="3">
        <v>100</v>
      </c>
      <c r="Q32" s="3">
        <v>100000</v>
      </c>
      <c r="R32" t="b">
        <v>1</v>
      </c>
      <c r="S32">
        <f t="shared" si="0"/>
        <v>4.583090426013927E-3</v>
      </c>
    </row>
    <row r="33" spans="1:19" x14ac:dyDescent="0.25">
      <c r="A33" s="4">
        <v>32</v>
      </c>
      <c r="B33" s="5">
        <v>2.104928884729083</v>
      </c>
      <c r="C33" s="5">
        <v>466.6300048828125</v>
      </c>
      <c r="D33" s="5">
        <v>2.1047952175140381</v>
      </c>
      <c r="E33" s="5">
        <v>2.668564775376581E-5</v>
      </c>
      <c r="F33" s="5">
        <v>4.4279671274125576E-3</v>
      </c>
      <c r="G33" s="5" t="b">
        <v>1</v>
      </c>
      <c r="H33" s="5">
        <v>400</v>
      </c>
      <c r="I33" s="5">
        <v>550</v>
      </c>
      <c r="J33" s="5">
        <v>0.54028064012527466</v>
      </c>
      <c r="K33" s="5">
        <v>0.29190313816070562</v>
      </c>
      <c r="L33" s="5">
        <v>1.3507016003131869E-3</v>
      </c>
      <c r="M33" s="5">
        <v>2.7014031074941158E-3</v>
      </c>
      <c r="N33" s="5">
        <v>1.336672150453744E-4</v>
      </c>
      <c r="O33" s="5">
        <v>10200.49434702924</v>
      </c>
      <c r="P33" s="5">
        <v>100</v>
      </c>
      <c r="Q33" s="6">
        <v>160000</v>
      </c>
      <c r="R33" t="b">
        <v>1</v>
      </c>
      <c r="S33">
        <f t="shared" si="0"/>
        <v>6.3502009980056012E-3</v>
      </c>
    </row>
    <row r="34" spans="1:19" x14ac:dyDescent="0.25">
      <c r="A34" s="4">
        <v>33</v>
      </c>
      <c r="B34" s="5">
        <v>2.2691343691356791</v>
      </c>
      <c r="C34" s="5">
        <v>433.69000244140619</v>
      </c>
      <c r="D34" s="5">
        <v>2.268783330917358</v>
      </c>
      <c r="E34" s="5">
        <v>5.2947962103644386E-7</v>
      </c>
      <c r="F34" s="5">
        <v>5.1063201390206814E-3</v>
      </c>
      <c r="G34" s="5" t="b">
        <v>1</v>
      </c>
      <c r="H34" s="5">
        <v>400</v>
      </c>
      <c r="I34" s="5">
        <v>550</v>
      </c>
      <c r="J34" s="5">
        <v>0.53960871696472168</v>
      </c>
      <c r="K34" s="5">
        <v>0.29117757081985468</v>
      </c>
      <c r="L34" s="5">
        <v>1.7063925908896609E-3</v>
      </c>
      <c r="M34" s="5">
        <v>3.4127852413803339E-3</v>
      </c>
      <c r="N34" s="5">
        <v>3.5103821832027648E-4</v>
      </c>
      <c r="O34" s="5">
        <v>599.24434933559655</v>
      </c>
      <c r="P34" s="5">
        <v>100</v>
      </c>
      <c r="Q34" s="6">
        <v>100000</v>
      </c>
      <c r="R34" t="b">
        <v>1</v>
      </c>
      <c r="S34">
        <f t="shared" si="0"/>
        <v>1.5470138000421197E-2</v>
      </c>
    </row>
    <row r="35" spans="1:19" x14ac:dyDescent="0.25">
      <c r="A35" s="4">
        <v>34</v>
      </c>
      <c r="B35" s="5">
        <v>2.436102626529673</v>
      </c>
      <c r="C35" s="5">
        <v>404.75</v>
      </c>
      <c r="D35" s="5">
        <v>2.4367704391479492</v>
      </c>
      <c r="E35" s="5">
        <v>5.8791192714124918E-7</v>
      </c>
      <c r="F35" s="5">
        <v>5.738699808716774E-3</v>
      </c>
      <c r="G35" s="5" t="b">
        <v>1</v>
      </c>
      <c r="H35" s="5">
        <v>400</v>
      </c>
      <c r="I35" s="5">
        <v>550</v>
      </c>
      <c r="J35" s="5">
        <v>0.54559206962585449</v>
      </c>
      <c r="K35" s="5">
        <v>0.29767072200775152</v>
      </c>
      <c r="L35" s="5">
        <v>1.4581561410577581E-3</v>
      </c>
      <c r="M35" s="5">
        <v>2.9163123108446598E-3</v>
      </c>
      <c r="N35" s="5">
        <v>6.6781261827575378E-4</v>
      </c>
      <c r="O35" s="5">
        <v>474.4527969668971</v>
      </c>
      <c r="P35" s="5">
        <v>100</v>
      </c>
      <c r="Q35" s="6">
        <v>140000</v>
      </c>
      <c r="R35" t="b">
        <v>1</v>
      </c>
      <c r="S35">
        <f t="shared" si="0"/>
        <v>2.7413156202991333E-2</v>
      </c>
    </row>
    <row r="36" spans="1:19" x14ac:dyDescent="0.25">
      <c r="A36" s="4">
        <v>35</v>
      </c>
      <c r="B36" s="5">
        <v>2.6042764235395381</v>
      </c>
      <c r="C36" s="5">
        <v>379.52999877929688</v>
      </c>
      <c r="D36" s="5">
        <v>2.604678869247437</v>
      </c>
      <c r="E36" s="5">
        <v>3.8091113765403861E-6</v>
      </c>
      <c r="F36" s="5">
        <v>6.7103966139256954E-3</v>
      </c>
      <c r="G36" s="5" t="b">
        <v>1</v>
      </c>
      <c r="H36" s="5">
        <v>250</v>
      </c>
      <c r="I36" s="5">
        <v>450</v>
      </c>
      <c r="J36" s="5">
        <v>0.54911023378372192</v>
      </c>
      <c r="K36" s="5">
        <v>0.30152204632759089</v>
      </c>
      <c r="L36" s="5">
        <v>1.227847809881204E-3</v>
      </c>
      <c r="M36" s="5">
        <v>2.4556955322623249E-3</v>
      </c>
      <c r="N36" s="5">
        <v>4.0244570789882422E-4</v>
      </c>
      <c r="O36" s="5">
        <v>1110.385098986133</v>
      </c>
      <c r="P36" s="5">
        <v>100</v>
      </c>
      <c r="Q36" s="6">
        <v>200000</v>
      </c>
      <c r="R36" t="b">
        <v>1</v>
      </c>
      <c r="S36">
        <f t="shared" si="0"/>
        <v>1.5453263880177898E-2</v>
      </c>
    </row>
    <row r="37" spans="1:19" x14ac:dyDescent="0.25">
      <c r="A37" s="4">
        <v>36</v>
      </c>
      <c r="B37" s="5">
        <v>2.771968175131601</v>
      </c>
      <c r="C37" s="5">
        <v>357.6099853515625</v>
      </c>
      <c r="D37" s="5">
        <v>2.7717258930206299</v>
      </c>
      <c r="E37" s="5">
        <v>3.8734175177523873E-5</v>
      </c>
      <c r="F37" s="5">
        <v>7.5418823398649693E-3</v>
      </c>
      <c r="G37" s="5" t="b">
        <v>1</v>
      </c>
      <c r="H37" s="5">
        <v>250</v>
      </c>
      <c r="I37" s="5">
        <v>450</v>
      </c>
      <c r="J37" s="5">
        <v>0.55216401815414429</v>
      </c>
      <c r="K37" s="5">
        <v>0.30488511919975281</v>
      </c>
      <c r="L37" s="5">
        <v>1.3804100453853609E-3</v>
      </c>
      <c r="M37" s="5">
        <v>2.760820090770721E-3</v>
      </c>
      <c r="N37" s="5">
        <v>2.4228211097110369E-4</v>
      </c>
      <c r="O37" s="5">
        <v>4395.2188351561836</v>
      </c>
      <c r="P37" s="5">
        <v>100</v>
      </c>
      <c r="Q37" s="6">
        <v>160000</v>
      </c>
      <c r="R37" t="b">
        <v>1</v>
      </c>
      <c r="S37">
        <f t="shared" si="0"/>
        <v>8.7404362411051557E-3</v>
      </c>
    </row>
    <row r="38" spans="1:19" x14ac:dyDescent="0.25">
      <c r="A38" s="4">
        <v>37</v>
      </c>
      <c r="B38" s="5">
        <v>2.937400074153079</v>
      </c>
      <c r="C38" s="5">
        <v>338.16000366210938</v>
      </c>
      <c r="D38" s="5">
        <v>2.9371383190155029</v>
      </c>
      <c r="E38" s="5">
        <v>2.1526125237869559E-7</v>
      </c>
      <c r="F38" s="5">
        <v>8.3334473893046379E-3</v>
      </c>
      <c r="G38" s="5" t="b">
        <v>1</v>
      </c>
      <c r="H38" s="5">
        <v>250</v>
      </c>
      <c r="I38" s="5">
        <v>450</v>
      </c>
      <c r="J38" s="5">
        <v>0.55657583475112915</v>
      </c>
      <c r="K38" s="5">
        <v>0.30977663397789001</v>
      </c>
      <c r="L38" s="5">
        <v>1.7600473284230631E-3</v>
      </c>
      <c r="M38" s="5">
        <v>3.52009478956461E-3</v>
      </c>
      <c r="N38" s="5">
        <v>2.617551375765359E-4</v>
      </c>
      <c r="O38" s="5">
        <v>1799.9507288319389</v>
      </c>
      <c r="P38" s="5">
        <v>100</v>
      </c>
      <c r="Q38" s="6">
        <v>100000</v>
      </c>
      <c r="R38" t="b">
        <v>1</v>
      </c>
      <c r="S38">
        <f t="shared" si="0"/>
        <v>8.9111163262977043E-3</v>
      </c>
    </row>
    <row r="39" spans="1:19" x14ac:dyDescent="0.25">
      <c r="A39" s="4">
        <v>38</v>
      </c>
      <c r="B39" s="5">
        <v>3.0987486480304991</v>
      </c>
      <c r="C39" s="5">
        <v>321.6300048828125</v>
      </c>
      <c r="D39" s="5">
        <v>3.0990738868713379</v>
      </c>
      <c r="E39" s="5">
        <v>1.447017621103441E-5</v>
      </c>
      <c r="F39" s="5">
        <v>9.0668704360723495E-3</v>
      </c>
      <c r="G39" s="5" t="b">
        <v>1</v>
      </c>
      <c r="H39" s="5">
        <v>250</v>
      </c>
      <c r="I39" s="5">
        <v>450</v>
      </c>
      <c r="J39" s="5">
        <v>0.55993026494979858</v>
      </c>
      <c r="K39" s="5">
        <v>0.31352192163467407</v>
      </c>
      <c r="L39" s="5">
        <v>1.399825662374497E-3</v>
      </c>
      <c r="M39" s="5">
        <v>2.7996513526886702E-3</v>
      </c>
      <c r="N39" s="5">
        <v>3.2523884083879301E-4</v>
      </c>
      <c r="O39" s="5">
        <v>608.21228045489568</v>
      </c>
      <c r="P39" s="5">
        <v>100</v>
      </c>
      <c r="Q39" s="6">
        <v>160000</v>
      </c>
      <c r="R39" t="b">
        <v>1</v>
      </c>
      <c r="S39">
        <f t="shared" si="0"/>
        <v>1.049581227072122E-2</v>
      </c>
    </row>
    <row r="40" spans="1:19" x14ac:dyDescent="0.25">
      <c r="A40" s="16">
        <v>39</v>
      </c>
      <c r="B40" s="16">
        <v>3.2541909293254512</v>
      </c>
      <c r="C40" s="16">
        <v>307.510009765625</v>
      </c>
      <c r="D40" s="16">
        <v>3.2545876502990718</v>
      </c>
      <c r="E40" s="16">
        <v>5.2791488087677862E-6</v>
      </c>
      <c r="F40" s="16">
        <v>9.6929138526320457E-3</v>
      </c>
      <c r="G40" s="16" t="b">
        <v>1</v>
      </c>
      <c r="H40" s="16">
        <v>275</v>
      </c>
      <c r="I40" s="16">
        <v>375</v>
      </c>
      <c r="J40" s="16">
        <v>0.55926549434661865</v>
      </c>
      <c r="K40" s="16">
        <v>0.31277787685394293</v>
      </c>
      <c r="L40" s="16">
        <v>7.9092084707228154E-4</v>
      </c>
      <c r="M40" s="16">
        <v>1.581841614097357E-3</v>
      </c>
      <c r="N40" s="16">
        <v>3.9672097362108971E-4</v>
      </c>
      <c r="O40" s="16">
        <v>1995.68763397875</v>
      </c>
      <c r="P40" s="16">
        <v>125</v>
      </c>
      <c r="Q40" s="16">
        <v>500000</v>
      </c>
      <c r="R40" t="b">
        <v>0</v>
      </c>
      <c r="S40">
        <f t="shared" si="0"/>
        <v>1.2191078588720808E-2</v>
      </c>
    </row>
    <row r="41" spans="1:19" x14ac:dyDescent="0.25">
      <c r="A41" s="4">
        <v>40</v>
      </c>
      <c r="B41" s="5">
        <v>3.4019493212427241</v>
      </c>
      <c r="C41" s="5">
        <v>295.42999267578119</v>
      </c>
      <c r="D41">
        <v>3.4018938541412349</v>
      </c>
      <c r="E41" s="5">
        <v>2.2232891296880548E-6</v>
      </c>
      <c r="F41" s="16">
        <v>1.081276126205921E-2</v>
      </c>
      <c r="G41" s="5" t="b">
        <v>1</v>
      </c>
      <c r="H41" s="5">
        <v>150</v>
      </c>
      <c r="I41" s="5">
        <v>350</v>
      </c>
      <c r="J41" s="5">
        <v>0.55928552150726318</v>
      </c>
      <c r="K41" s="5">
        <v>0.31280028820037842</v>
      </c>
      <c r="L41" s="5">
        <v>1.7686161103180401E-3</v>
      </c>
      <c r="M41" s="5">
        <v>3.537232289090753E-3</v>
      </c>
      <c r="N41">
        <v>5.5467101489181658E-5</v>
      </c>
      <c r="O41" s="5">
        <v>47.565469816714263</v>
      </c>
      <c r="P41" s="5">
        <v>100</v>
      </c>
      <c r="Q41" s="6">
        <v>100000</v>
      </c>
      <c r="R41" t="b">
        <v>0</v>
      </c>
      <c r="S41">
        <f t="shared" si="0"/>
        <v>1.6304505520652393E-3</v>
      </c>
    </row>
    <row r="42" spans="1:19" x14ac:dyDescent="0.25">
      <c r="A42" s="4">
        <v>41</v>
      </c>
      <c r="B42" s="5">
        <v>3.540332478193541</v>
      </c>
      <c r="C42" s="5">
        <v>285.42999267578119</v>
      </c>
      <c r="D42">
        <v>3.5418522357940669</v>
      </c>
      <c r="E42" s="5">
        <v>3.3257492759730671E-6</v>
      </c>
      <c r="F42" s="16">
        <v>1.1488994583487511E-2</v>
      </c>
      <c r="G42" s="5" t="b">
        <v>1</v>
      </c>
      <c r="H42" s="5">
        <v>150</v>
      </c>
      <c r="I42" s="5">
        <v>350</v>
      </c>
      <c r="J42" s="5">
        <v>0.55870705842971802</v>
      </c>
      <c r="K42" s="5">
        <v>0.31215357780456537</v>
      </c>
      <c r="L42" s="5">
        <v>1.020054863131045E-3</v>
      </c>
      <c r="M42" s="5">
        <v>2.0401098299771552E-3</v>
      </c>
      <c r="N42">
        <v>2.1688224736493567E-4</v>
      </c>
      <c r="O42" s="5">
        <v>334.31924065187769</v>
      </c>
      <c r="P42" s="5">
        <v>100</v>
      </c>
      <c r="Q42" s="6">
        <v>300000</v>
      </c>
      <c r="R42" t="b">
        <v>0</v>
      </c>
      <c r="S42">
        <f t="shared" si="0"/>
        <v>6.1260417969444527E-3</v>
      </c>
    </row>
    <row r="43" spans="1:19" x14ac:dyDescent="0.25">
      <c r="A43" s="4">
        <v>42</v>
      </c>
      <c r="B43" s="5">
        <v>3.6677700686639909</v>
      </c>
      <c r="C43" s="5">
        <v>277.04998779296881</v>
      </c>
      <c r="D43" s="5">
        <v>3.6680006980896001</v>
      </c>
      <c r="E43" s="5">
        <v>8.2948190538445488E-9</v>
      </c>
      <c r="F43" s="16">
        <v>1.190994773060083E-2</v>
      </c>
      <c r="G43" s="5" t="b">
        <v>1</v>
      </c>
      <c r="H43" s="5">
        <v>200</v>
      </c>
      <c r="I43" s="5">
        <v>350</v>
      </c>
      <c r="J43" s="5">
        <v>0.55924546718597412</v>
      </c>
      <c r="K43" s="5">
        <v>0.31275546550750732</v>
      </c>
      <c r="L43" s="5">
        <v>9.8861565548760276E-4</v>
      </c>
      <c r="M43" s="5">
        <v>1.977231353521347E-3</v>
      </c>
      <c r="N43" s="5">
        <v>2.3062942560869709E-4</v>
      </c>
      <c r="O43" s="5">
        <v>862.36023601301861</v>
      </c>
      <c r="P43" s="5">
        <v>100</v>
      </c>
      <c r="Q43" s="6">
        <v>320000</v>
      </c>
      <c r="R43" t="b">
        <v>0</v>
      </c>
      <c r="S43">
        <f t="shared" si="0"/>
        <v>6.2880011912171303E-3</v>
      </c>
    </row>
    <row r="44" spans="1:19" x14ac:dyDescent="0.25">
      <c r="A44" s="16">
        <v>43</v>
      </c>
      <c r="B44" s="16">
        <v>3.782840056259261</v>
      </c>
      <c r="C44" s="16">
        <v>270</v>
      </c>
      <c r="D44" s="16">
        <v>3.7827825546264648</v>
      </c>
      <c r="E44" s="16">
        <v>7.7818640420446172E-11</v>
      </c>
      <c r="F44" s="16">
        <v>1.2295607477426531E-2</v>
      </c>
      <c r="G44" s="16" t="b">
        <v>1</v>
      </c>
      <c r="H44" s="16">
        <v>225</v>
      </c>
      <c r="I44" s="16">
        <v>325</v>
      </c>
      <c r="J44" s="16">
        <v>0.55875831842422485</v>
      </c>
      <c r="K44" s="16">
        <v>0.31221085786819458</v>
      </c>
      <c r="L44" s="16">
        <v>9.0642568483412895E-4</v>
      </c>
      <c r="M44" s="16">
        <v>1.8128514057025309E-3</v>
      </c>
      <c r="N44" s="16">
        <v>5.7501632796608249E-5</v>
      </c>
      <c r="O44" s="16">
        <v>826.8182084818817</v>
      </c>
      <c r="P44" s="16">
        <v>125</v>
      </c>
      <c r="Q44" s="16">
        <v>380000</v>
      </c>
      <c r="R44" t="b">
        <v>0</v>
      </c>
      <c r="S44">
        <f t="shared" si="0"/>
        <v>1.5200651346985556E-3</v>
      </c>
    </row>
    <row r="45" spans="1:19" x14ac:dyDescent="0.25">
      <c r="A45" s="16">
        <v>44</v>
      </c>
      <c r="B45" s="16">
        <v>3.884288006826818</v>
      </c>
      <c r="C45" s="16">
        <v>264.33999633789063</v>
      </c>
      <c r="D45" s="16">
        <v>3.884538888931274</v>
      </c>
      <c r="E45" s="16">
        <v>7.9085680226853583E-9</v>
      </c>
      <c r="F45" s="16">
        <v>1.2432681396603581E-2</v>
      </c>
      <c r="G45" s="16" t="b">
        <v>1</v>
      </c>
      <c r="H45" s="16">
        <v>225</v>
      </c>
      <c r="I45" s="16">
        <v>325</v>
      </c>
      <c r="J45" s="16">
        <v>0.56044298410415649</v>
      </c>
      <c r="K45" s="16">
        <v>0.31409633159637451</v>
      </c>
      <c r="L45" s="16">
        <v>1.0591376856932311E-3</v>
      </c>
      <c r="M45" s="16">
        <v>2.118275268003345E-3</v>
      </c>
      <c r="N45" s="16">
        <v>2.5088210445689541E-4</v>
      </c>
      <c r="O45" s="16">
        <v>808.68689281620379</v>
      </c>
      <c r="P45" s="16">
        <v>125</v>
      </c>
      <c r="Q45" s="16">
        <v>280000</v>
      </c>
      <c r="R45" t="b">
        <v>0</v>
      </c>
      <c r="S45">
        <f t="shared" si="0"/>
        <v>6.4588955302994615E-3</v>
      </c>
    </row>
    <row r="46" spans="1:19" x14ac:dyDescent="0.25">
      <c r="A46" s="16">
        <v>45</v>
      </c>
      <c r="B46" s="16">
        <v>3.9710387796361699</v>
      </c>
      <c r="C46" s="16">
        <v>259.80999755859381</v>
      </c>
      <c r="D46" s="16">
        <v>3.9713747501373291</v>
      </c>
      <c r="E46" s="16">
        <v>3.143105459457729E-6</v>
      </c>
      <c r="F46" s="16">
        <v>1.26158781349659E-2</v>
      </c>
      <c r="G46" s="16" t="b">
        <v>1</v>
      </c>
      <c r="H46" s="16">
        <v>225</v>
      </c>
      <c r="I46" s="16">
        <v>325</v>
      </c>
      <c r="J46" s="16">
        <v>0.562183678150177</v>
      </c>
      <c r="K46" s="16">
        <v>0.31605049967765808</v>
      </c>
      <c r="L46" s="16">
        <v>1.622884489570093E-3</v>
      </c>
      <c r="M46" s="16">
        <v>3.2457690685987468E-3</v>
      </c>
      <c r="N46" s="16">
        <v>3.3597050115918853E-4</v>
      </c>
      <c r="O46" s="16">
        <v>1178.05699310923</v>
      </c>
      <c r="P46" s="16">
        <v>125</v>
      </c>
      <c r="Q46" s="16">
        <v>120000</v>
      </c>
      <c r="R46" t="b">
        <v>0</v>
      </c>
      <c r="S46">
        <f t="shared" si="0"/>
        <v>8.4605192697204141E-3</v>
      </c>
    </row>
    <row r="47" spans="1:19" x14ac:dyDescent="0.25">
      <c r="A47" s="16">
        <v>46</v>
      </c>
      <c r="B47" s="16">
        <v>4.0422016787925781</v>
      </c>
      <c r="C47" s="16">
        <v>256.260009765625</v>
      </c>
      <c r="D47" s="16">
        <v>4.0422472953796387</v>
      </c>
      <c r="E47" s="16">
        <v>2.9631564757437449E-8</v>
      </c>
      <c r="F47" s="16">
        <v>1.269411388784647E-2</v>
      </c>
      <c r="G47" s="16" t="b">
        <v>1</v>
      </c>
      <c r="H47" s="16">
        <v>225</v>
      </c>
      <c r="I47" s="16">
        <v>325</v>
      </c>
      <c r="J47" s="16">
        <v>0.56417959928512573</v>
      </c>
      <c r="K47" s="16">
        <v>0.31829860806465149</v>
      </c>
      <c r="L47" s="16">
        <v>9.1522016369017232E-4</v>
      </c>
      <c r="M47" s="16">
        <v>1.830440363846719E-3</v>
      </c>
      <c r="N47" s="16">
        <v>4.5616587060592913E-5</v>
      </c>
      <c r="O47" s="16">
        <v>775.7204349440949</v>
      </c>
      <c r="P47" s="16">
        <v>125</v>
      </c>
      <c r="Q47" s="16">
        <v>380000</v>
      </c>
      <c r="R47" t="b">
        <v>0</v>
      </c>
      <c r="S47">
        <f t="shared" si="0"/>
        <v>1.1285084388520359E-3</v>
      </c>
    </row>
    <row r="48" spans="1:19" x14ac:dyDescent="0.25">
      <c r="A48" s="4">
        <v>47</v>
      </c>
      <c r="B48" s="5">
        <v>4.097070649025869</v>
      </c>
      <c r="C48" s="5">
        <v>253.69000244140619</v>
      </c>
      <c r="D48" s="5">
        <v>4.0969843864440918</v>
      </c>
      <c r="E48" s="5">
        <v>7.7230856732057873E-7</v>
      </c>
      <c r="F48" s="16">
        <v>1.2964128516614441E-2</v>
      </c>
      <c r="G48" s="5" t="b">
        <v>1</v>
      </c>
      <c r="H48" s="5">
        <v>150</v>
      </c>
      <c r="I48" s="5">
        <v>350</v>
      </c>
      <c r="J48" s="5">
        <v>0.56472033262252808</v>
      </c>
      <c r="K48" s="5">
        <v>0.31890907883644098</v>
      </c>
      <c r="L48" s="5">
        <v>1.1075076906787999E-3</v>
      </c>
      <c r="M48" s="5">
        <v>2.2150154691189532E-3</v>
      </c>
      <c r="N48" s="5">
        <v>8.626258177724111E-5</v>
      </c>
      <c r="O48" s="5">
        <v>603.26123548689441</v>
      </c>
      <c r="P48" s="5">
        <v>125</v>
      </c>
      <c r="Q48" s="6">
        <v>260000</v>
      </c>
      <c r="R48" t="b">
        <v>0</v>
      </c>
      <c r="S48">
        <f t="shared" si="0"/>
        <v>2.1054697164607388E-3</v>
      </c>
    </row>
    <row r="49" spans="1:19" x14ac:dyDescent="0.25">
      <c r="A49" s="16">
        <v>48</v>
      </c>
      <c r="B49" s="16">
        <v>4.1351213578181021</v>
      </c>
      <c r="C49" s="16">
        <v>251.92999267578119</v>
      </c>
      <c r="D49" s="16">
        <v>4.1349287033081046</v>
      </c>
      <c r="E49" s="16">
        <v>1.2028067430946979E-8</v>
      </c>
      <c r="F49" s="16">
        <v>1.2765428982675081E-2</v>
      </c>
      <c r="G49" s="16" t="b">
        <v>1</v>
      </c>
      <c r="H49" s="16">
        <v>225</v>
      </c>
      <c r="I49" s="16">
        <v>325</v>
      </c>
      <c r="J49" s="16">
        <v>0.56715399026870728</v>
      </c>
      <c r="K49" s="16">
        <v>0.32166361808776861</v>
      </c>
      <c r="L49" s="16">
        <v>6.1881573597680933E-4</v>
      </c>
      <c r="M49" s="16">
        <v>1.2376314261928201E-3</v>
      </c>
      <c r="N49" s="16">
        <v>1.9265450999661479E-4</v>
      </c>
      <c r="O49" s="16">
        <v>767.07739599402532</v>
      </c>
      <c r="P49" s="16">
        <v>125</v>
      </c>
      <c r="Q49" s="16">
        <v>840000</v>
      </c>
      <c r="R49" t="b">
        <v>0</v>
      </c>
      <c r="S49">
        <f t="shared" si="0"/>
        <v>4.658980797077961E-3</v>
      </c>
    </row>
    <row r="50" spans="1:19" x14ac:dyDescent="0.25">
      <c r="A50" s="4">
        <v>49</v>
      </c>
      <c r="B50" s="5">
        <v>4.15600701030269</v>
      </c>
      <c r="C50" s="5">
        <v>250.9100036621094</v>
      </c>
      <c r="D50" s="5">
        <v>4.1561617851257324</v>
      </c>
      <c r="E50" s="5">
        <v>3.2832758734002709E-10</v>
      </c>
      <c r="F50" s="16">
        <v>1.2908639386296271E-2</v>
      </c>
      <c r="G50" s="5" t="b">
        <v>1</v>
      </c>
      <c r="H50" s="5">
        <v>150</v>
      </c>
      <c r="I50" s="5">
        <v>350</v>
      </c>
      <c r="J50" s="5">
        <v>0.56741124391555786</v>
      </c>
      <c r="K50" s="5">
        <v>0.32195550203323359</v>
      </c>
      <c r="L50" s="5">
        <v>8.9715595038125987E-4</v>
      </c>
      <c r="M50" s="5">
        <v>1.7943120328709481E-3</v>
      </c>
      <c r="N50" s="5">
        <v>1.5477482304238069E-4</v>
      </c>
      <c r="O50" s="5">
        <v>587.78948086663559</v>
      </c>
      <c r="P50" s="5">
        <v>100</v>
      </c>
      <c r="Q50" s="6">
        <v>400000</v>
      </c>
      <c r="R50" t="b">
        <v>0</v>
      </c>
      <c r="S50">
        <f t="shared" si="0"/>
        <v>3.7241232427831766E-3</v>
      </c>
    </row>
    <row r="51" spans="1:19" x14ac:dyDescent="0.25">
      <c r="A51" s="4">
        <v>50</v>
      </c>
      <c r="B51" s="5">
        <v>4.1595545203155497</v>
      </c>
      <c r="C51" s="5">
        <v>250.78999328613281</v>
      </c>
      <c r="D51" s="5">
        <v>4.1590938568115234</v>
      </c>
      <c r="E51" s="5">
        <v>2.1217510948190471E-7</v>
      </c>
      <c r="F51" s="16">
        <v>1.2894016690552229E-2</v>
      </c>
      <c r="G51" s="5" t="b">
        <v>1</v>
      </c>
      <c r="H51" s="5">
        <v>150</v>
      </c>
      <c r="I51" s="5">
        <v>350</v>
      </c>
      <c r="J51" s="5">
        <v>0.56645774841308594</v>
      </c>
      <c r="K51" s="5">
        <v>0.32087439298629761</v>
      </c>
      <c r="L51" s="5">
        <v>6.9726128828962505E-4</v>
      </c>
      <c r="M51" s="5">
        <v>1.3945224927738311E-3</v>
      </c>
      <c r="N51" s="5">
        <v>4.6066350402629302E-4</v>
      </c>
      <c r="O51" s="5">
        <v>884.98793764202674</v>
      </c>
      <c r="P51" s="5">
        <v>100</v>
      </c>
      <c r="Q51" s="6">
        <v>660000</v>
      </c>
      <c r="R51" t="b">
        <v>0</v>
      </c>
      <c r="S51">
        <f t="shared" si="0"/>
        <v>1.1074827887851472E-2</v>
      </c>
    </row>
    <row r="52" spans="1:19" x14ac:dyDescent="0.25">
      <c r="A52" s="4">
        <v>51</v>
      </c>
      <c r="B52" s="5">
        <v>4.1457622553970923</v>
      </c>
      <c r="C52" s="5">
        <v>251.50999450683591</v>
      </c>
      <c r="D52" s="5">
        <v>4.1459274291992188</v>
      </c>
      <c r="E52" s="5">
        <v>2.2418134904000911E-8</v>
      </c>
      <c r="F52" s="16">
        <v>1.2894292362034321E-2</v>
      </c>
      <c r="G52" s="5" t="b">
        <v>1</v>
      </c>
      <c r="H52" s="5">
        <v>150</v>
      </c>
      <c r="I52" s="5">
        <v>350</v>
      </c>
      <c r="J52" s="5">
        <v>0.56673741340637207</v>
      </c>
      <c r="K52" s="5">
        <v>0.32119128108024603</v>
      </c>
      <c r="L52" s="5">
        <v>8.1801499547500282E-4</v>
      </c>
      <c r="M52" s="5">
        <v>1.6360300360247491E-3</v>
      </c>
      <c r="N52" s="5">
        <v>1.6517380212643931E-4</v>
      </c>
      <c r="O52" s="5">
        <v>588.66450491450598</v>
      </c>
      <c r="P52" s="5">
        <v>100</v>
      </c>
      <c r="Q52" s="6">
        <v>480000</v>
      </c>
      <c r="R52" t="b">
        <v>0</v>
      </c>
      <c r="S52">
        <f t="shared" si="0"/>
        <v>3.9841600157223319E-3</v>
      </c>
    </row>
    <row r="53" spans="1:19" x14ac:dyDescent="0.25">
      <c r="A53" s="4">
        <v>52</v>
      </c>
      <c r="B53" s="5">
        <v>4.1148000406331944</v>
      </c>
      <c r="C53" s="5">
        <v>252.80000305175781</v>
      </c>
      <c r="D53" s="5">
        <v>4.1145315170288086</v>
      </c>
      <c r="E53" s="5">
        <v>3.7849531508982182E-8</v>
      </c>
      <c r="F53" s="16">
        <v>1.293347496539354E-2</v>
      </c>
      <c r="G53" s="5" t="b">
        <v>1</v>
      </c>
      <c r="H53" s="5">
        <v>150</v>
      </c>
      <c r="I53" s="5">
        <v>350</v>
      </c>
      <c r="J53" s="5">
        <v>0.56644052267074585</v>
      </c>
      <c r="K53" s="5">
        <v>0.32085487246513372</v>
      </c>
      <c r="L53" s="5">
        <v>8.0106786943867333E-4</v>
      </c>
      <c r="M53" s="5">
        <v>1.602135715074837E-3</v>
      </c>
      <c r="N53" s="5">
        <v>2.6852360438578421E-4</v>
      </c>
      <c r="O53" s="5">
        <v>599.97253529058389</v>
      </c>
      <c r="P53" s="5">
        <v>100</v>
      </c>
      <c r="Q53" s="6">
        <v>500000</v>
      </c>
      <c r="R53" t="b">
        <v>0</v>
      </c>
      <c r="S53">
        <f t="shared" si="0"/>
        <v>6.5257995949777239E-3</v>
      </c>
    </row>
    <row r="54" spans="1:19" x14ac:dyDescent="0.25">
      <c r="A54" s="16">
        <v>53</v>
      </c>
      <c r="B54" s="16">
        <v>4.067011505252216</v>
      </c>
      <c r="C54" s="16">
        <v>255.1499938964844</v>
      </c>
      <c r="D54" s="16">
        <v>4.0673055648803711</v>
      </c>
      <c r="E54" s="16">
        <v>5.707101990992669E-8</v>
      </c>
      <c r="F54" s="16">
        <v>1.287352479994297E-2</v>
      </c>
      <c r="G54" s="16" t="b">
        <v>1</v>
      </c>
      <c r="H54" s="16">
        <v>225</v>
      </c>
      <c r="I54" s="16">
        <v>325</v>
      </c>
      <c r="J54" s="16">
        <v>0.56510931253433228</v>
      </c>
      <c r="K54" s="16">
        <v>0.31934854388237</v>
      </c>
      <c r="L54" s="16">
        <v>1.4127732813358309E-3</v>
      </c>
      <c r="M54" s="16">
        <v>2.8255465440452099E-3</v>
      </c>
      <c r="N54" s="16">
        <v>2.9405962815509668E-4</v>
      </c>
      <c r="O54" s="16">
        <v>754.24955919029344</v>
      </c>
      <c r="P54" s="16">
        <v>125</v>
      </c>
      <c r="Q54" s="16">
        <v>160000</v>
      </c>
      <c r="R54" t="b">
        <v>0</v>
      </c>
      <c r="S54">
        <f t="shared" si="0"/>
        <v>7.2303613544083285E-3</v>
      </c>
    </row>
    <row r="55" spans="1:19" x14ac:dyDescent="0.25">
      <c r="A55" s="16">
        <v>54</v>
      </c>
      <c r="B55" s="16">
        <v>4.0029182471614666</v>
      </c>
      <c r="C55" s="16">
        <v>258.1300048828125</v>
      </c>
      <c r="D55" s="16">
        <v>4.0032143592834473</v>
      </c>
      <c r="E55" s="16">
        <v>4.9100453907158226E-6</v>
      </c>
      <c r="F55" s="16">
        <v>1.2668830342590811E-2</v>
      </c>
      <c r="G55" s="16" t="b">
        <v>1</v>
      </c>
      <c r="H55" s="16">
        <v>225</v>
      </c>
      <c r="I55" s="16">
        <v>325</v>
      </c>
      <c r="J55" s="16">
        <v>0.56322997808456421</v>
      </c>
      <c r="K55" s="16">
        <v>0.31722798943519592</v>
      </c>
      <c r="L55" s="16">
        <v>1.1496883784551119E-3</v>
      </c>
      <c r="M55" s="16">
        <v>2.2993767634034161E-3</v>
      </c>
      <c r="N55" s="16">
        <v>2.9611212197977471E-4</v>
      </c>
      <c r="O55" s="16">
        <v>1557.63955856447</v>
      </c>
      <c r="P55" s="16">
        <v>125</v>
      </c>
      <c r="Q55" s="16">
        <v>240000</v>
      </c>
      <c r="R55" t="b">
        <v>0</v>
      </c>
      <c r="S55">
        <f t="shared" si="0"/>
        <v>7.3974061845942657E-3</v>
      </c>
    </row>
    <row r="56" spans="1:19" x14ac:dyDescent="0.25">
      <c r="A56" s="4">
        <v>55</v>
      </c>
      <c r="B56" s="5">
        <v>3.9232247344705549</v>
      </c>
      <c r="C56" s="5">
        <v>262.20001220703119</v>
      </c>
      <c r="D56" s="5">
        <v>3.9232628345489502</v>
      </c>
      <c r="E56" s="5">
        <v>2.4686016786290569E-8</v>
      </c>
      <c r="F56" s="16">
        <v>1.2556559406220909E-2</v>
      </c>
      <c r="G56" s="5" t="b">
        <v>1</v>
      </c>
      <c r="H56" s="5">
        <v>150</v>
      </c>
      <c r="I56" s="5">
        <v>350</v>
      </c>
      <c r="J56" s="5">
        <v>0.56107932329177856</v>
      </c>
      <c r="K56" s="5">
        <v>0.31480997800827032</v>
      </c>
      <c r="L56" s="5">
        <v>1.060340253721754E-3</v>
      </c>
      <c r="M56" s="5">
        <v>2.120680408552289E-3</v>
      </c>
      <c r="N56" s="5">
        <v>3.8100078394887049E-5</v>
      </c>
      <c r="O56" s="5">
        <v>665.97250768075253</v>
      </c>
      <c r="P56" s="5">
        <v>100</v>
      </c>
      <c r="Q56" s="6">
        <v>280000</v>
      </c>
      <c r="R56" t="b">
        <v>0</v>
      </c>
      <c r="S56">
        <f t="shared" si="0"/>
        <v>9.7114187877459716E-4</v>
      </c>
    </row>
    <row r="57" spans="1:19" x14ac:dyDescent="0.25">
      <c r="A57" s="16">
        <v>56</v>
      </c>
      <c r="B57" s="16">
        <v>3.8288224192227061</v>
      </c>
      <c r="C57" s="16">
        <v>267.42999267578119</v>
      </c>
      <c r="D57" s="16">
        <v>3.8285548686981201</v>
      </c>
      <c r="E57" s="16">
        <v>5.8054883993463591E-6</v>
      </c>
      <c r="F57" s="16">
        <v>1.239069830626249E-2</v>
      </c>
      <c r="G57" s="16" t="b">
        <v>1</v>
      </c>
      <c r="H57" s="16">
        <v>225</v>
      </c>
      <c r="I57" s="16">
        <v>325</v>
      </c>
      <c r="J57" s="16">
        <v>0.56091105937957764</v>
      </c>
      <c r="K57" s="16">
        <v>0.31462123990058899</v>
      </c>
      <c r="L57" s="16">
        <v>9.0991789180516617E-4</v>
      </c>
      <c r="M57" s="16">
        <v>1.8198357429355381E-3</v>
      </c>
      <c r="N57" s="16">
        <v>2.6755052458593548E-4</v>
      </c>
      <c r="O57" s="16">
        <v>1221.2644254701249</v>
      </c>
      <c r="P57" s="16">
        <v>125</v>
      </c>
      <c r="Q57" s="16">
        <v>380000</v>
      </c>
      <c r="R57" t="b">
        <v>0</v>
      </c>
      <c r="S57">
        <f t="shared" si="0"/>
        <v>6.9878018693865481E-3</v>
      </c>
    </row>
    <row r="58" spans="1:19" x14ac:dyDescent="0.25">
      <c r="A58" s="16">
        <v>57</v>
      </c>
      <c r="B58" s="16">
        <v>3.72079126374026</v>
      </c>
      <c r="C58" s="16">
        <v>273.79000854492188</v>
      </c>
      <c r="D58" s="16">
        <v>3.7209737300872798</v>
      </c>
      <c r="E58" s="16">
        <v>3.7849531508982182E-6</v>
      </c>
      <c r="F58" s="16">
        <v>1.208715792745352E-2</v>
      </c>
      <c r="G58" s="16" t="b">
        <v>1</v>
      </c>
      <c r="H58" s="16">
        <v>225</v>
      </c>
      <c r="I58" s="16">
        <v>325</v>
      </c>
      <c r="J58" s="16">
        <v>0.55734008550643921</v>
      </c>
      <c r="K58" s="16">
        <v>0.31062796711921692</v>
      </c>
      <c r="L58" s="16">
        <v>1.4895540342002779E-3</v>
      </c>
      <c r="M58" s="16">
        <v>2.9791081324219699E-3</v>
      </c>
      <c r="N58" s="16">
        <v>1.82466347019794E-4</v>
      </c>
      <c r="O58" s="16">
        <v>1711.163924357872</v>
      </c>
      <c r="P58" s="16">
        <v>125</v>
      </c>
      <c r="Q58" s="16">
        <v>140000</v>
      </c>
      <c r="R58" t="b">
        <v>0</v>
      </c>
      <c r="S58">
        <f t="shared" si="0"/>
        <v>4.9039662288492079E-3</v>
      </c>
    </row>
    <row r="59" spans="1:19" x14ac:dyDescent="0.25">
      <c r="A59" s="16">
        <v>58</v>
      </c>
      <c r="B59" s="16">
        <v>3.6003968225698841</v>
      </c>
      <c r="C59" s="16">
        <v>281.27999877929688</v>
      </c>
      <c r="D59" s="16">
        <v>3.600258588790894</v>
      </c>
      <c r="E59" s="16">
        <v>2.7694341042661111E-8</v>
      </c>
      <c r="F59" s="16">
        <v>1.1716962791979309E-2</v>
      </c>
      <c r="G59" s="16" t="b">
        <v>1</v>
      </c>
      <c r="H59" s="16">
        <v>225</v>
      </c>
      <c r="I59" s="16">
        <v>325</v>
      </c>
      <c r="J59" s="16">
        <v>0.5590175986289978</v>
      </c>
      <c r="K59" s="16">
        <v>0.31250065565109247</v>
      </c>
      <c r="L59" s="16">
        <v>1.397543996572494E-3</v>
      </c>
      <c r="M59" s="16">
        <v>2.795088104903698E-3</v>
      </c>
      <c r="N59" s="16">
        <v>1.382337789905819E-4</v>
      </c>
      <c r="O59" s="16">
        <v>910.49991884906899</v>
      </c>
      <c r="P59" s="16">
        <v>125</v>
      </c>
      <c r="Q59" s="16">
        <v>160000</v>
      </c>
      <c r="R59" t="b">
        <v>0</v>
      </c>
      <c r="S59">
        <f t="shared" si="0"/>
        <v>3.8394039824730672E-3</v>
      </c>
    </row>
    <row r="60" spans="1:19" x14ac:dyDescent="0.25">
      <c r="A60" s="16">
        <v>59</v>
      </c>
      <c r="B60" s="16">
        <v>3.469081214710001</v>
      </c>
      <c r="C60" s="16">
        <v>290.45999145507813</v>
      </c>
      <c r="D60" s="16">
        <v>3.4687013626098628</v>
      </c>
      <c r="E60" s="16">
        <v>1.092117418011185E-5</v>
      </c>
      <c r="F60" s="16">
        <v>1.1121031828224661E-2</v>
      </c>
      <c r="G60" s="16" t="b">
        <v>1</v>
      </c>
      <c r="H60" s="16">
        <v>225</v>
      </c>
      <c r="I60" s="16">
        <v>325</v>
      </c>
      <c r="J60" s="16">
        <v>0.55985420942306519</v>
      </c>
      <c r="K60" s="16">
        <v>0.31343674659728998</v>
      </c>
      <c r="L60" s="16">
        <v>8.0807994629337955E-4</v>
      </c>
      <c r="M60" s="16">
        <v>1.616159919649363E-3</v>
      </c>
      <c r="N60" s="16">
        <v>3.7985210013724569E-4</v>
      </c>
      <c r="O60" s="16">
        <v>505.34718397150777</v>
      </c>
      <c r="P60" s="16">
        <v>125</v>
      </c>
      <c r="Q60" s="16">
        <v>480000</v>
      </c>
      <c r="R60" t="b">
        <v>0</v>
      </c>
      <c r="S60">
        <f t="shared" si="0"/>
        <v>1.0949645644689802E-2</v>
      </c>
    </row>
    <row r="61" spans="1:19" x14ac:dyDescent="0.25">
      <c r="A61" s="16">
        <v>60</v>
      </c>
      <c r="B61" s="16">
        <v>3.328446766773975</v>
      </c>
      <c r="C61" s="16">
        <v>301.30999755859381</v>
      </c>
      <c r="D61" s="16">
        <v>3.3282477855682369</v>
      </c>
      <c r="E61" s="16">
        <v>5.4147676564753062E-8</v>
      </c>
      <c r="F61" s="16">
        <v>9.9135348573327065E-3</v>
      </c>
      <c r="G61" s="16" t="b">
        <v>1</v>
      </c>
      <c r="H61" s="16">
        <v>275</v>
      </c>
      <c r="I61" s="16">
        <v>375</v>
      </c>
      <c r="J61" s="16">
        <v>0.56052446365356445</v>
      </c>
      <c r="K61" s="16">
        <v>0.3141876757144928</v>
      </c>
      <c r="L61" s="16">
        <v>1.498064642783472E-3</v>
      </c>
      <c r="M61" s="16">
        <v>2.9961292166262869E-3</v>
      </c>
      <c r="N61" s="16">
        <v>1.989812057376916E-4</v>
      </c>
      <c r="O61" s="16">
        <v>1271.899911412806</v>
      </c>
      <c r="P61" s="16">
        <v>125</v>
      </c>
      <c r="Q61" s="16">
        <v>140000</v>
      </c>
      <c r="R61" t="b">
        <v>0</v>
      </c>
      <c r="S61">
        <f t="shared" si="0"/>
        <v>5.9782000338419062E-3</v>
      </c>
    </row>
    <row r="62" spans="1:19" x14ac:dyDescent="0.25">
      <c r="A62" s="4">
        <v>61</v>
      </c>
      <c r="B62" s="5">
        <v>3.1802317779983489</v>
      </c>
      <c r="C62" s="5">
        <v>314.1099853515625</v>
      </c>
      <c r="D62" s="5">
        <v>3.1814558506011958</v>
      </c>
      <c r="E62" s="5">
        <v>5.7607671806181324E-6</v>
      </c>
      <c r="F62" s="5">
        <v>9.1216601431369781E-3</v>
      </c>
      <c r="G62" s="5" t="b">
        <v>1</v>
      </c>
      <c r="H62" s="5">
        <v>250</v>
      </c>
      <c r="I62" s="5">
        <v>450</v>
      </c>
      <c r="J62" s="5">
        <v>0.55801725387573242</v>
      </c>
      <c r="K62" s="5">
        <v>0.31138324737548828</v>
      </c>
      <c r="L62" s="5">
        <v>1.247764512283896E-3</v>
      </c>
      <c r="M62" s="5">
        <v>2.4955291301012039E-3</v>
      </c>
      <c r="N62" s="5">
        <v>1.2240726028469599E-3</v>
      </c>
      <c r="O62" s="5">
        <v>1.467108664723638</v>
      </c>
      <c r="P62" s="5">
        <v>100</v>
      </c>
      <c r="Q62" s="6">
        <v>200000</v>
      </c>
      <c r="R62" t="b">
        <v>0</v>
      </c>
      <c r="S62">
        <f t="shared" si="0"/>
        <v>3.849004375452774E-2</v>
      </c>
    </row>
    <row r="63" spans="1:19" x14ac:dyDescent="0.25">
      <c r="A63" s="4">
        <v>62</v>
      </c>
      <c r="B63" s="5">
        <v>3.0262786837990991</v>
      </c>
      <c r="C63" s="5">
        <v>328.85000610351563</v>
      </c>
      <c r="D63" s="5">
        <v>3.0265834331512451</v>
      </c>
      <c r="E63" s="5">
        <v>2.115143615810666E-10</v>
      </c>
      <c r="F63" s="5">
        <v>8.6211152374744415E-3</v>
      </c>
      <c r="G63" s="5" t="b">
        <v>1</v>
      </c>
      <c r="H63" s="5">
        <v>250</v>
      </c>
      <c r="I63" s="5">
        <v>450</v>
      </c>
      <c r="J63" s="5">
        <v>0.55909621715545654</v>
      </c>
      <c r="K63" s="5">
        <v>0.31258857250213617</v>
      </c>
      <c r="L63" s="5">
        <v>9.8835181621592465E-4</v>
      </c>
      <c r="M63" s="5">
        <v>1.9767035264521842E-3</v>
      </c>
      <c r="N63" s="5">
        <v>3.047493521459721E-4</v>
      </c>
      <c r="O63" s="5">
        <v>672.73357594753872</v>
      </c>
      <c r="P63" s="5">
        <v>100</v>
      </c>
      <c r="Q63" s="6">
        <v>320000</v>
      </c>
      <c r="R63" t="b">
        <v>0</v>
      </c>
      <c r="S63">
        <f t="shared" si="0"/>
        <v>1.0070102062226435E-2</v>
      </c>
    </row>
    <row r="64" spans="1:19" x14ac:dyDescent="0.25">
      <c r="A64" s="4">
        <v>63</v>
      </c>
      <c r="B64" s="5">
        <v>2.8684957729033602</v>
      </c>
      <c r="C64" s="5">
        <v>345.75</v>
      </c>
      <c r="D64" s="5">
        <v>2.8683044910430908</v>
      </c>
      <c r="E64" s="5">
        <v>3.3912883736775261E-6</v>
      </c>
      <c r="F64" s="5">
        <v>8.0162491649389267E-3</v>
      </c>
      <c r="G64" s="5" t="b">
        <v>1</v>
      </c>
      <c r="H64" s="5">
        <v>250</v>
      </c>
      <c r="I64" s="5">
        <v>450</v>
      </c>
      <c r="J64" s="5">
        <v>0.55621474981307983</v>
      </c>
      <c r="K64" s="5">
        <v>0.30937483906745911</v>
      </c>
      <c r="L64" s="5">
        <v>1.135368603709876E-3</v>
      </c>
      <c r="M64" s="5">
        <v>2.2707371972501278E-3</v>
      </c>
      <c r="N64" s="5">
        <v>1.912818602689548E-4</v>
      </c>
      <c r="O64" s="5">
        <v>243.15186816145689</v>
      </c>
      <c r="P64" s="5">
        <v>100</v>
      </c>
      <c r="Q64" s="6">
        <v>240000</v>
      </c>
      <c r="R64" t="b">
        <v>0</v>
      </c>
      <c r="S64">
        <f t="shared" si="0"/>
        <v>6.6683682115155438E-3</v>
      </c>
    </row>
    <row r="65" spans="1:19" x14ac:dyDescent="0.25">
      <c r="A65" s="4">
        <v>64</v>
      </c>
      <c r="B65" s="5">
        <v>2.708814420507546</v>
      </c>
      <c r="C65" s="5">
        <v>365.32000732421881</v>
      </c>
      <c r="D65" s="5">
        <v>2.7095685005187988</v>
      </c>
      <c r="E65" s="5">
        <v>9.4007418738328852E-8</v>
      </c>
      <c r="F65" s="5">
        <v>7.1941041387617588E-3</v>
      </c>
      <c r="G65" s="5" t="b">
        <v>1</v>
      </c>
      <c r="H65" s="5">
        <v>250</v>
      </c>
      <c r="I65" s="5">
        <v>450</v>
      </c>
      <c r="J65" s="5">
        <v>0.55195343494415283</v>
      </c>
      <c r="K65" s="5">
        <v>0.30465260148048401</v>
      </c>
      <c r="L65" s="5">
        <v>9.465923315747001E-4</v>
      </c>
      <c r="M65" s="5">
        <v>1.8931846134364601E-3</v>
      </c>
      <c r="N65" s="5">
        <v>7.5408001125243374E-4</v>
      </c>
      <c r="O65" s="5">
        <v>9.4344504375109732</v>
      </c>
      <c r="P65" s="5">
        <v>100</v>
      </c>
      <c r="Q65" s="6">
        <v>340000</v>
      </c>
      <c r="R65" t="b">
        <v>0</v>
      </c>
      <c r="S65">
        <f t="shared" si="0"/>
        <v>2.7838009335137213E-2</v>
      </c>
    </row>
    <row r="66" spans="1:19" x14ac:dyDescent="0.25">
      <c r="A66" s="4">
        <v>65</v>
      </c>
      <c r="B66" s="5">
        <v>2.5491444140341089</v>
      </c>
      <c r="C66" s="5">
        <v>387.45999145507813</v>
      </c>
      <c r="D66" s="5">
        <v>2.5488102436065669</v>
      </c>
      <c r="E66" s="5">
        <v>4.7607704800611828E-7</v>
      </c>
      <c r="F66" s="5">
        <v>6.418637465685606E-3</v>
      </c>
      <c r="G66" s="5" t="b">
        <v>1</v>
      </c>
      <c r="H66" s="5">
        <v>250</v>
      </c>
      <c r="I66" s="5">
        <v>450</v>
      </c>
      <c r="J66" s="5">
        <v>0.54821419715881348</v>
      </c>
      <c r="K66" s="5">
        <v>0.30053877830505371</v>
      </c>
      <c r="L66" s="5">
        <v>9.6911494088433982E-4</v>
      </c>
      <c r="M66" s="5">
        <v>1.9382298924028869E-3</v>
      </c>
      <c r="N66" s="5">
        <v>3.3417042754191328E-4</v>
      </c>
      <c r="O66" s="5">
        <v>3034.0610797066929</v>
      </c>
      <c r="P66" s="5">
        <v>100</v>
      </c>
      <c r="Q66" s="6">
        <v>320000</v>
      </c>
      <c r="R66" t="b">
        <v>0</v>
      </c>
      <c r="S66">
        <f t="shared" si="0"/>
        <v>1.3109121072237608E-2</v>
      </c>
    </row>
    <row r="67" spans="1:19" x14ac:dyDescent="0.25">
      <c r="A67" s="4">
        <v>66</v>
      </c>
      <c r="B67" s="5">
        <v>2.3913302718645761</v>
      </c>
      <c r="C67" s="5">
        <v>412.23001098632813</v>
      </c>
      <c r="D67" s="5">
        <v>2.3920819759368901</v>
      </c>
      <c r="E67" s="5">
        <v>1.1644190180959411E-6</v>
      </c>
      <c r="F67" s="5">
        <v>5.5512646213173866E-3</v>
      </c>
      <c r="G67" s="5" t="b">
        <v>1</v>
      </c>
      <c r="H67" s="5">
        <v>350</v>
      </c>
      <c r="I67" s="5">
        <v>550</v>
      </c>
      <c r="J67" s="5">
        <v>0.5442470908164978</v>
      </c>
      <c r="K67" s="5">
        <v>0.29620492458343511</v>
      </c>
      <c r="L67" s="5">
        <v>1.216973491622191E-3</v>
      </c>
      <c r="M67" s="5">
        <v>2.433947054669261E-3</v>
      </c>
      <c r="N67" s="5">
        <v>7.5170407231395231E-4</v>
      </c>
      <c r="O67" s="5">
        <v>3.9611947633833799</v>
      </c>
      <c r="P67" s="5">
        <v>100</v>
      </c>
      <c r="Q67" s="6">
        <v>200000</v>
      </c>
      <c r="R67" t="b">
        <v>0</v>
      </c>
      <c r="S67">
        <f t="shared" ref="S67:S102" si="2">(N67/B67)*100</f>
        <v>3.1434556788671061E-2</v>
      </c>
    </row>
    <row r="68" spans="1:19" x14ac:dyDescent="0.25">
      <c r="A68" s="4">
        <v>67</v>
      </c>
      <c r="B68" s="5">
        <v>2.237111438067684</v>
      </c>
      <c r="C68" s="5">
        <v>439.60000610351563</v>
      </c>
      <c r="D68" s="5">
        <v>2.2379336357116699</v>
      </c>
      <c r="E68" s="5">
        <v>4.2837898945435882E-5</v>
      </c>
      <c r="F68" s="5">
        <v>4.971642978489399E-3</v>
      </c>
      <c r="G68" s="5" t="b">
        <v>1</v>
      </c>
      <c r="H68" s="5">
        <v>350</v>
      </c>
      <c r="I68" s="5">
        <v>550</v>
      </c>
      <c r="J68" s="5">
        <v>0.54126918315887451</v>
      </c>
      <c r="K68" s="5">
        <v>0.29297235608100891</v>
      </c>
      <c r="L68" s="5">
        <v>1.2103146876690279E-3</v>
      </c>
      <c r="M68" s="5">
        <v>2.4206293746829029E-3</v>
      </c>
      <c r="N68" s="5">
        <v>8.2219764398594464E-4</v>
      </c>
      <c r="O68" s="5">
        <v>10114.400379717819</v>
      </c>
      <c r="P68" s="5">
        <v>100</v>
      </c>
      <c r="Q68" s="6">
        <v>200000</v>
      </c>
      <c r="R68" t="b">
        <v>0</v>
      </c>
      <c r="S68">
        <f t="shared" si="2"/>
        <v>3.6752645844773918E-2</v>
      </c>
    </row>
    <row r="69" spans="1:19" x14ac:dyDescent="0.25">
      <c r="A69" s="4">
        <v>68</v>
      </c>
      <c r="B69" s="5">
        <v>2.0880888840362379</v>
      </c>
      <c r="C69" s="5">
        <v>470.20999145507813</v>
      </c>
      <c r="D69" s="5">
        <v>2.0883610248565669</v>
      </c>
      <c r="E69" s="5">
        <v>2.4536404907848919E-6</v>
      </c>
      <c r="F69" s="5">
        <v>4.4020856730639926E-3</v>
      </c>
      <c r="G69" s="5" t="b">
        <v>1</v>
      </c>
      <c r="H69" s="5">
        <v>350</v>
      </c>
      <c r="I69" s="5">
        <v>550</v>
      </c>
      <c r="J69" s="5">
        <v>0.53947025537490845</v>
      </c>
      <c r="K69" s="5">
        <v>0.29102817177772522</v>
      </c>
      <c r="L69" s="5">
        <v>1.1501544489847461E-3</v>
      </c>
      <c r="M69" s="5">
        <v>2.3003090173006062E-3</v>
      </c>
      <c r="N69" s="5">
        <v>2.7214082032944731E-4</v>
      </c>
      <c r="O69" s="5">
        <v>2418.935564078341</v>
      </c>
      <c r="P69" s="5">
        <v>100</v>
      </c>
      <c r="Q69" s="6">
        <v>220000</v>
      </c>
      <c r="R69" t="b">
        <v>1</v>
      </c>
      <c r="S69">
        <f t="shared" si="2"/>
        <v>1.3033009390069834E-2</v>
      </c>
    </row>
    <row r="70" spans="1:19" x14ac:dyDescent="0.25">
      <c r="A70" s="4">
        <v>69</v>
      </c>
      <c r="B70" s="5">
        <v>1.9457000227727641</v>
      </c>
      <c r="C70" s="5">
        <v>503.95999145507813</v>
      </c>
      <c r="D70" s="5">
        <v>1.9455780982971189</v>
      </c>
      <c r="E70" s="5">
        <v>1.688408701738808E-5</v>
      </c>
      <c r="F70" s="5">
        <v>3.7427872885018591E-3</v>
      </c>
      <c r="G70" s="5" t="b">
        <v>1</v>
      </c>
      <c r="H70" s="5">
        <v>450</v>
      </c>
      <c r="I70" s="5">
        <v>650</v>
      </c>
      <c r="J70" s="5">
        <v>0.53915929794311523</v>
      </c>
      <c r="K70" s="5">
        <v>0.29069274663925171</v>
      </c>
      <c r="L70" s="5">
        <v>1.2055968409018681E-3</v>
      </c>
      <c r="M70" s="5">
        <v>2.411193680018187E-3</v>
      </c>
      <c r="N70" s="5">
        <v>1.2192447564451919E-4</v>
      </c>
      <c r="O70" s="5">
        <v>17846.362778315081</v>
      </c>
      <c r="P70" s="5">
        <v>100</v>
      </c>
      <c r="Q70" s="6">
        <v>200000</v>
      </c>
      <c r="R70" t="b">
        <v>1</v>
      </c>
      <c r="S70">
        <f t="shared" si="2"/>
        <v>6.2663552560773446E-3</v>
      </c>
    </row>
    <row r="71" spans="1:19" x14ac:dyDescent="0.25">
      <c r="A71" s="4">
        <v>70</v>
      </c>
      <c r="B71" s="5">
        <v>1.8112030457153261</v>
      </c>
      <c r="C71" s="5">
        <v>540.70001220703125</v>
      </c>
      <c r="D71" s="5">
        <v>1.810828328132629</v>
      </c>
      <c r="E71" s="5">
        <v>1.9454660105111539E-9</v>
      </c>
      <c r="F71" s="5">
        <v>3.306543687358499E-3</v>
      </c>
      <c r="G71" s="5" t="b">
        <v>1</v>
      </c>
      <c r="H71" s="5">
        <v>450</v>
      </c>
      <c r="I71" s="5">
        <v>650</v>
      </c>
      <c r="J71" s="5">
        <v>0.53949302434921265</v>
      </c>
      <c r="K71" s="5">
        <v>0.29105272889137268</v>
      </c>
      <c r="L71" s="5">
        <v>7.4814221617162642E-4</v>
      </c>
      <c r="M71" s="5">
        <v>1.496284501627088E-3</v>
      </c>
      <c r="N71" s="5">
        <v>3.7471758269691508E-4</v>
      </c>
      <c r="O71" s="5">
        <v>11433.033676115991</v>
      </c>
      <c r="P71" s="5">
        <v>100</v>
      </c>
      <c r="Q71" s="6">
        <v>520000</v>
      </c>
      <c r="R71" t="b">
        <v>1</v>
      </c>
      <c r="S71">
        <f t="shared" si="2"/>
        <v>2.0688877681790899E-2</v>
      </c>
    </row>
    <row r="72" spans="1:19" x14ac:dyDescent="0.25">
      <c r="A72" s="4">
        <v>71</v>
      </c>
      <c r="B72" s="5">
        <v>1.685670945847273</v>
      </c>
      <c r="C72" s="5">
        <v>580.20001220703125</v>
      </c>
      <c r="D72" s="5">
        <v>1.686196565628052</v>
      </c>
      <c r="E72" s="5">
        <v>1.790922965483333E-7</v>
      </c>
      <c r="F72" s="5">
        <v>2.928940579295158E-3</v>
      </c>
      <c r="G72" s="5" t="b">
        <v>1</v>
      </c>
      <c r="H72" s="5">
        <v>450</v>
      </c>
      <c r="I72" s="5">
        <v>650</v>
      </c>
      <c r="J72" s="5">
        <v>0.53905421495437622</v>
      </c>
      <c r="K72" s="5">
        <v>0.29057943820953369</v>
      </c>
      <c r="L72" s="5">
        <v>8.9842369159062708E-4</v>
      </c>
      <c r="M72" s="5">
        <v>1.7968473257496951E-3</v>
      </c>
      <c r="N72" s="5">
        <v>5.2561978077836358E-4</v>
      </c>
      <c r="O72" s="5">
        <v>227.67163003585921</v>
      </c>
      <c r="P72" s="5">
        <v>100</v>
      </c>
      <c r="Q72" s="6">
        <v>360000</v>
      </c>
      <c r="R72" t="b">
        <v>1</v>
      </c>
      <c r="S72">
        <f>(N72/B72)*100</f>
        <v>3.1181636135643898E-2</v>
      </c>
    </row>
    <row r="73" spans="1:19" x14ac:dyDescent="0.25">
      <c r="A73">
        <v>72</v>
      </c>
      <c r="B73">
        <v>1.569994708318921</v>
      </c>
      <c r="C73" s="14">
        <v>622.60028076171875</v>
      </c>
      <c r="D73">
        <v>1.5696079730987551</v>
      </c>
      <c r="E73">
        <f t="shared" ref="E73:E90" si="3">(B73-D73)^2</f>
        <v>1.4956413051673382E-7</v>
      </c>
      <c r="F73">
        <v>2.5045967195183039E-3</v>
      </c>
      <c r="G73" t="b">
        <v>1</v>
      </c>
      <c r="H73">
        <v>587.5</v>
      </c>
      <c r="I73">
        <v>662.5</v>
      </c>
      <c r="J73">
        <v>0.53850656747817993</v>
      </c>
      <c r="K73">
        <v>0.28998932242393488</v>
      </c>
      <c r="L73">
        <v>3.807816455773121E-3</v>
      </c>
      <c r="M73">
        <v>7.6156328432261944E-3</v>
      </c>
      <c r="N73">
        <v>3.8673522016585688E-4</v>
      </c>
      <c r="O73">
        <v>6388.6627760408774</v>
      </c>
      <c r="P73">
        <v>70</v>
      </c>
      <c r="Q73">
        <v>20000</v>
      </c>
      <c r="R73" t="b">
        <v>1</v>
      </c>
      <c r="S73">
        <f t="shared" si="2"/>
        <v>2.4632899596200256E-2</v>
      </c>
    </row>
    <row r="74" spans="1:19" x14ac:dyDescent="0.25">
      <c r="A74" s="4">
        <v>73</v>
      </c>
      <c r="B74" s="5">
        <v>1.464894518558977</v>
      </c>
      <c r="C74" s="5">
        <v>667.0999755859375</v>
      </c>
      <c r="D74" s="5">
        <v>1.464526891708374</v>
      </c>
      <c r="E74" s="5">
        <v>3.0004832751728832E-7</v>
      </c>
      <c r="F74" s="5">
        <v>2.1619985345751051E-3</v>
      </c>
      <c r="G74" s="5" t="b">
        <v>1</v>
      </c>
      <c r="H74" s="5">
        <v>550</v>
      </c>
      <c r="I74" s="5">
        <v>750</v>
      </c>
      <c r="J74" s="5">
        <v>0.54070091247558594</v>
      </c>
      <c r="K74" s="5">
        <v>0.29235747456550598</v>
      </c>
      <c r="L74" s="5">
        <v>6.5569616882490901E-4</v>
      </c>
      <c r="M74" s="5">
        <v>1.311392290517688E-3</v>
      </c>
      <c r="N74" s="5">
        <v>3.6762685060298672E-4</v>
      </c>
      <c r="O74" s="5">
        <v>40113.493043784641</v>
      </c>
      <c r="P74" s="5">
        <v>100</v>
      </c>
      <c r="Q74" s="6">
        <v>680000</v>
      </c>
      <c r="R74" t="b">
        <v>1</v>
      </c>
      <c r="S74">
        <f t="shared" si="2"/>
        <v>2.5095789897870795E-2</v>
      </c>
    </row>
    <row r="75" spans="1:19" x14ac:dyDescent="0.25">
      <c r="A75">
        <v>74</v>
      </c>
      <c r="B75">
        <v>1.3709374080230179</v>
      </c>
      <c r="C75" s="14">
        <v>713.0126953125</v>
      </c>
      <c r="D75">
        <v>1.370973587036133</v>
      </c>
      <c r="E75">
        <f t="shared" si="3"/>
        <v>1.308920989985845E-9</v>
      </c>
      <c r="F75">
        <v>1.9356720149517059E-3</v>
      </c>
      <c r="G75" t="b">
        <v>1</v>
      </c>
      <c r="H75">
        <v>687.5</v>
      </c>
      <c r="I75">
        <v>762.5</v>
      </c>
      <c r="J75">
        <v>0.542091965675354</v>
      </c>
      <c r="K75">
        <v>0.2938636839389801</v>
      </c>
      <c r="L75">
        <v>3.8331690495578791E-3</v>
      </c>
      <c r="M75">
        <v>7.6663382351398468E-3</v>
      </c>
      <c r="N75">
        <v>3.6179013114923109E-5</v>
      </c>
      <c r="O75">
        <v>10841.19420037183</v>
      </c>
      <c r="P75">
        <v>70</v>
      </c>
      <c r="Q75">
        <v>20000</v>
      </c>
      <c r="R75" t="b">
        <v>1</v>
      </c>
      <c r="S75">
        <f t="shared" si="2"/>
        <v>2.638998170390261E-3</v>
      </c>
    </row>
    <row r="76" spans="1:19" x14ac:dyDescent="0.25">
      <c r="A76" s="4">
        <v>75</v>
      </c>
      <c r="B76" s="5">
        <v>1.2885595404939401</v>
      </c>
      <c r="C76" s="5">
        <v>758.29998779296875</v>
      </c>
      <c r="D76" s="5">
        <v>1.287978053092957</v>
      </c>
      <c r="E76" s="5">
        <v>9.0268628127887496E-7</v>
      </c>
      <c r="F76" s="5">
        <v>1.749545917846262E-3</v>
      </c>
      <c r="G76" s="5" t="b">
        <v>1</v>
      </c>
      <c r="H76" s="5">
        <v>650</v>
      </c>
      <c r="I76" s="5">
        <v>850</v>
      </c>
      <c r="J76" s="5">
        <v>0.54204308986663818</v>
      </c>
      <c r="K76" s="5">
        <v>0.29381069540977478</v>
      </c>
      <c r="L76" s="5">
        <v>9.2959622998402226E-4</v>
      </c>
      <c r="M76" s="5">
        <v>1.859192387200892E-3</v>
      </c>
      <c r="N76" s="5">
        <v>5.8148740098329377E-4</v>
      </c>
      <c r="O76" s="5">
        <v>61256.274678696478</v>
      </c>
      <c r="P76" s="5">
        <v>100</v>
      </c>
      <c r="Q76" s="6">
        <v>340000</v>
      </c>
      <c r="R76" t="b">
        <v>1</v>
      </c>
      <c r="S76">
        <f t="shared" si="2"/>
        <v>4.5126933037210971E-2</v>
      </c>
    </row>
    <row r="77" spans="1:19" x14ac:dyDescent="0.25">
      <c r="A77">
        <v>76</v>
      </c>
      <c r="B77">
        <v>1.218091315853705</v>
      </c>
      <c r="C77" s="14">
        <v>803.16265869140625</v>
      </c>
      <c r="D77">
        <v>1.217975258827209</v>
      </c>
      <c r="E77">
        <f t="shared" si="3"/>
        <v>1.3469233399087403E-8</v>
      </c>
      <c r="F77">
        <v>1.475372700951993E-3</v>
      </c>
      <c r="G77" t="b">
        <v>1</v>
      </c>
      <c r="H77">
        <v>793.75</v>
      </c>
      <c r="I77">
        <v>831.25</v>
      </c>
      <c r="J77">
        <v>0.5391804575920105</v>
      </c>
      <c r="K77">
        <v>0.29071557521820068</v>
      </c>
      <c r="L77">
        <v>3.8125815784657629E-3</v>
      </c>
      <c r="M77">
        <v>7.6251630671322346E-3</v>
      </c>
      <c r="N77">
        <v>1.160570264953087E-4</v>
      </c>
      <c r="O77">
        <v>18017.00968122956</v>
      </c>
      <c r="P77">
        <v>70</v>
      </c>
      <c r="Q77">
        <v>20000</v>
      </c>
      <c r="R77" t="b">
        <v>1</v>
      </c>
      <c r="S77">
        <f t="shared" si="2"/>
        <v>9.5277771858975607E-3</v>
      </c>
    </row>
    <row r="78" spans="1:19" x14ac:dyDescent="0.25">
      <c r="A78" s="4">
        <v>77</v>
      </c>
      <c r="B78" s="5">
        <v>1.159783590634661</v>
      </c>
      <c r="C78" s="5">
        <v>842.70001220703125</v>
      </c>
      <c r="D78" s="5">
        <v>1.1590327024459841</v>
      </c>
      <c r="E78" s="5">
        <v>4.723009396911948E-7</v>
      </c>
      <c r="F78" s="5">
        <v>1.4161261497065421E-3</v>
      </c>
      <c r="G78" s="5" t="b">
        <v>1</v>
      </c>
      <c r="H78" s="5">
        <v>750</v>
      </c>
      <c r="I78" s="5">
        <v>950</v>
      </c>
      <c r="J78" s="5">
        <v>0.543232262134552</v>
      </c>
      <c r="K78" s="5">
        <v>0.29510128498077393</v>
      </c>
      <c r="L78" s="5">
        <v>9.9180187978551207E-4</v>
      </c>
      <c r="M78" s="5">
        <v>1.983603928238153E-3</v>
      </c>
      <c r="N78" s="5">
        <v>7.5088818867707907E-4</v>
      </c>
      <c r="O78" s="5">
        <v>62331.2918851137</v>
      </c>
      <c r="P78" s="5">
        <v>100</v>
      </c>
      <c r="Q78" s="6">
        <v>300000</v>
      </c>
      <c r="R78" t="b">
        <v>1</v>
      </c>
      <c r="S78">
        <f t="shared" si="2"/>
        <v>6.4743818996971264E-2</v>
      </c>
    </row>
    <row r="79" spans="1:19" x14ac:dyDescent="0.25">
      <c r="A79" s="4">
        <v>78</v>
      </c>
      <c r="B79" s="5">
        <v>1.113833533176569</v>
      </c>
      <c r="C79" s="5">
        <v>877.9000244140625</v>
      </c>
      <c r="D79" s="5">
        <v>1.114607572555542</v>
      </c>
      <c r="E79" s="5">
        <v>1.0738363016571381E-5</v>
      </c>
      <c r="F79" s="5">
        <v>1.2568847741931679E-3</v>
      </c>
      <c r="G79" s="5" t="b">
        <v>1</v>
      </c>
      <c r="H79" s="5">
        <v>750</v>
      </c>
      <c r="I79" s="5">
        <v>950</v>
      </c>
      <c r="J79" s="5">
        <v>0.54423987865447998</v>
      </c>
      <c r="K79" s="5">
        <v>0.29619705677032471</v>
      </c>
      <c r="L79" s="5">
        <v>1.1603233199842561E-3</v>
      </c>
      <c r="M79" s="5">
        <v>2.3206467740237709E-3</v>
      </c>
      <c r="N79" s="5">
        <v>7.7403937897257968E-4</v>
      </c>
      <c r="O79" s="5">
        <v>118688.9646890117</v>
      </c>
      <c r="P79" s="5">
        <v>100</v>
      </c>
      <c r="Q79" s="6">
        <v>220000</v>
      </c>
      <c r="R79" t="b">
        <v>1</v>
      </c>
      <c r="S79">
        <f t="shared" si="2"/>
        <v>6.9493273089478461E-2</v>
      </c>
    </row>
    <row r="80" spans="1:19" x14ac:dyDescent="0.25">
      <c r="A80" s="4">
        <v>79</v>
      </c>
      <c r="B80" s="5">
        <v>1.0804088945786661</v>
      </c>
      <c r="C80" s="5">
        <v>907</v>
      </c>
      <c r="D80" s="5">
        <v>1.0803041458129881</v>
      </c>
      <c r="E80" s="5">
        <v>8.1581902122707106E-8</v>
      </c>
      <c r="F80" s="5">
        <v>1.2549993116408591E-3</v>
      </c>
      <c r="G80" s="5" t="b">
        <v>1</v>
      </c>
      <c r="H80" s="5">
        <v>850</v>
      </c>
      <c r="I80" s="5">
        <v>1000</v>
      </c>
      <c r="J80" s="5">
        <v>0.54448181390762329</v>
      </c>
      <c r="K80" s="5">
        <v>0.29646044969558721</v>
      </c>
      <c r="L80" s="5">
        <v>9.6251695711708064E-4</v>
      </c>
      <c r="M80" s="5">
        <v>1.925033866427839E-3</v>
      </c>
      <c r="N80" s="5">
        <v>1.0474876567778681E-4</v>
      </c>
      <c r="O80" s="5">
        <v>79363.90668303534</v>
      </c>
      <c r="P80" s="5">
        <v>100</v>
      </c>
      <c r="Q80" s="6">
        <v>320000</v>
      </c>
      <c r="R80" t="b">
        <v>1</v>
      </c>
      <c r="S80">
        <f t="shared" si="2"/>
        <v>9.695289089473513E-3</v>
      </c>
    </row>
    <row r="81" spans="1:19" x14ac:dyDescent="0.25">
      <c r="A81" s="4">
        <v>80</v>
      </c>
      <c r="B81" s="5">
        <v>1.059669741704262</v>
      </c>
      <c r="C81" s="5">
        <v>924.20001220703125</v>
      </c>
      <c r="D81" s="5">
        <v>1.0601015090942381</v>
      </c>
      <c r="E81" s="5">
        <v>1.864305545495881E-7</v>
      </c>
      <c r="F81" s="5">
        <v>1.152220065705478E-3</v>
      </c>
      <c r="G81" s="5" t="b">
        <v>1</v>
      </c>
      <c r="H81" s="5">
        <v>850</v>
      </c>
      <c r="I81" s="5">
        <v>1000</v>
      </c>
      <c r="J81" s="5">
        <v>0.54567134380340576</v>
      </c>
      <c r="K81" s="5">
        <v>0.29775723814964289</v>
      </c>
      <c r="L81" s="5">
        <v>9.6461976875641042E-4</v>
      </c>
      <c r="M81" s="5">
        <v>1.9292394863441591E-3</v>
      </c>
      <c r="N81" s="5">
        <v>4.3176738997630082E-4</v>
      </c>
      <c r="O81" s="5">
        <v>94154.080137295168</v>
      </c>
      <c r="P81" s="5">
        <v>100</v>
      </c>
      <c r="Q81" s="6">
        <v>320000</v>
      </c>
      <c r="R81" t="b">
        <v>1</v>
      </c>
      <c r="S81">
        <f t="shared" si="2"/>
        <v>4.0745467477621027E-2</v>
      </c>
    </row>
    <row r="82" spans="1:19" x14ac:dyDescent="0.25">
      <c r="A82" s="4">
        <v>81</v>
      </c>
      <c r="B82" s="5">
        <v>1.051786933968325</v>
      </c>
      <c r="C82" s="5">
        <v>931.4000244140625</v>
      </c>
      <c r="D82" s="5">
        <v>1.052038192749023</v>
      </c>
      <c r="E82" s="5">
        <v>7.7919403338455595E-6</v>
      </c>
      <c r="F82" s="5">
        <v>1.122568035498261E-3</v>
      </c>
      <c r="G82" s="5" t="b">
        <v>1</v>
      </c>
      <c r="H82" s="5">
        <v>850</v>
      </c>
      <c r="I82" s="5">
        <v>1000</v>
      </c>
      <c r="J82" s="5">
        <v>0.54423952102661133</v>
      </c>
      <c r="K82" s="5">
        <v>0.29619666934013372</v>
      </c>
      <c r="L82" s="5">
        <v>8.204719487854581E-4</v>
      </c>
      <c r="M82" s="5">
        <v>1.640943926759064E-3</v>
      </c>
      <c r="N82" s="5">
        <v>2.5125878069820468E-4</v>
      </c>
      <c r="O82" s="5">
        <v>74395.374252285023</v>
      </c>
      <c r="P82" s="5">
        <v>100</v>
      </c>
      <c r="Q82" s="6">
        <v>440000</v>
      </c>
      <c r="R82" t="b">
        <v>1</v>
      </c>
      <c r="S82">
        <f t="shared" si="2"/>
        <v>2.3888752805686728E-2</v>
      </c>
    </row>
    <row r="83" spans="1:19" x14ac:dyDescent="0.25">
      <c r="A83" s="4">
        <v>82</v>
      </c>
      <c r="B83" s="5">
        <v>1.056956812851094</v>
      </c>
      <c r="C83" s="5">
        <v>926.29998779296875</v>
      </c>
      <c r="D83" s="5">
        <v>1.056923031806946</v>
      </c>
      <c r="E83" s="5">
        <v>3.1936065170157239E-6</v>
      </c>
      <c r="F83" s="5">
        <v>1.1722173076122999E-3</v>
      </c>
      <c r="G83" s="5" t="b">
        <v>1</v>
      </c>
      <c r="H83" s="5">
        <v>850</v>
      </c>
      <c r="I83" s="5">
        <v>1000</v>
      </c>
      <c r="J83" s="5">
        <v>0.5441935658454895</v>
      </c>
      <c r="K83" s="5">
        <v>0.29614666104316711</v>
      </c>
      <c r="L83" s="5">
        <v>2.2216609293785479E-3</v>
      </c>
      <c r="M83" s="5">
        <v>4.443321842700243E-3</v>
      </c>
      <c r="N83" s="5">
        <v>3.3781044148417649E-5</v>
      </c>
      <c r="O83" s="5">
        <v>17056.70060169026</v>
      </c>
      <c r="P83" s="5">
        <v>100</v>
      </c>
      <c r="Q83" s="6">
        <v>60000</v>
      </c>
      <c r="R83" t="b">
        <v>1</v>
      </c>
      <c r="S83">
        <f t="shared" si="2"/>
        <v>3.19606664507841E-3</v>
      </c>
    </row>
    <row r="84" spans="1:19" x14ac:dyDescent="0.25">
      <c r="A84">
        <v>83</v>
      </c>
      <c r="B84">
        <v>1.0754117048643399</v>
      </c>
      <c r="C84" s="14">
        <v>910.02313232421875</v>
      </c>
      <c r="D84">
        <v>1.0754169225692749</v>
      </c>
      <c r="E84">
        <f t="shared" si="3"/>
        <v>2.722444478873448E-11</v>
      </c>
      <c r="F84" s="16">
        <v>1.211138325743377E-3</v>
      </c>
      <c r="G84" t="b">
        <v>0</v>
      </c>
      <c r="H84">
        <v>893.75</v>
      </c>
      <c r="I84">
        <v>931.25</v>
      </c>
      <c r="J84">
        <v>0.54520237445831299</v>
      </c>
      <c r="K84">
        <v>0.29724565148353582</v>
      </c>
      <c r="L84">
        <v>3.855162960984804E-3</v>
      </c>
      <c r="M84">
        <v>7.7103259973227978E-3</v>
      </c>
      <c r="N84">
        <v>5.2177049350010662E-6</v>
      </c>
      <c r="O84">
        <v>133.63101162962889</v>
      </c>
      <c r="P84">
        <v>70</v>
      </c>
      <c r="Q84">
        <v>20000</v>
      </c>
      <c r="R84" t="b">
        <v>1</v>
      </c>
      <c r="S84">
        <f t="shared" si="2"/>
        <v>4.8518208527954083E-4</v>
      </c>
    </row>
    <row r="85" spans="1:19" x14ac:dyDescent="0.25">
      <c r="A85" s="4">
        <v>84</v>
      </c>
      <c r="B85" s="5">
        <v>1.107425917291978</v>
      </c>
      <c r="C85" s="5">
        <v>883.79998779296875</v>
      </c>
      <c r="D85" s="5">
        <v>1.107108592987061</v>
      </c>
      <c r="E85" s="5">
        <v>9.9818325907108374E-6</v>
      </c>
      <c r="F85" s="5">
        <v>1.278836745768785E-3</v>
      </c>
      <c r="G85" s="5" t="b">
        <v>1</v>
      </c>
      <c r="H85" s="5">
        <v>750</v>
      </c>
      <c r="I85" s="5">
        <v>950</v>
      </c>
      <c r="J85" s="5">
        <v>0.54434406757354736</v>
      </c>
      <c r="K85" s="5">
        <v>0.29631048440933228</v>
      </c>
      <c r="L85" s="5">
        <v>9.9383174951382766E-4</v>
      </c>
      <c r="M85" s="5">
        <v>1.9876635633409019E-3</v>
      </c>
      <c r="N85" s="5">
        <v>3.1732430491704378E-4</v>
      </c>
      <c r="O85" s="5">
        <v>152865.61057322571</v>
      </c>
      <c r="P85" s="5">
        <v>100</v>
      </c>
      <c r="Q85" s="6">
        <v>300000</v>
      </c>
      <c r="R85" t="b">
        <v>1</v>
      </c>
      <c r="S85">
        <f t="shared" si="2"/>
        <v>2.8654224175374769E-2</v>
      </c>
    </row>
    <row r="86" spans="1:19" x14ac:dyDescent="0.25">
      <c r="A86" s="4">
        <v>85</v>
      </c>
      <c r="B86" s="5">
        <v>1.153316940821536</v>
      </c>
      <c r="C86" s="5">
        <v>848.5999755859375</v>
      </c>
      <c r="D86" s="5">
        <v>1.15399181842804</v>
      </c>
      <c r="E86" s="5">
        <v>6.370066330418922E-6</v>
      </c>
      <c r="F86" s="5">
        <v>1.344336313195527E-3</v>
      </c>
      <c r="G86" s="5" t="b">
        <v>1</v>
      </c>
      <c r="H86" s="5">
        <v>750</v>
      </c>
      <c r="I86" s="5">
        <v>950</v>
      </c>
      <c r="J86" s="5">
        <v>0.54306060075759888</v>
      </c>
      <c r="K86" s="5">
        <v>0.29491481184959412</v>
      </c>
      <c r="L86" s="5">
        <v>1.065029461664007E-3</v>
      </c>
      <c r="M86" s="5">
        <v>2.1300588268786669E-3</v>
      </c>
      <c r="N86" s="5">
        <v>6.7487760650331019E-4</v>
      </c>
      <c r="O86" s="5">
        <v>103749.3566108013</v>
      </c>
      <c r="P86" s="5">
        <v>100</v>
      </c>
      <c r="Q86" s="6">
        <v>260000</v>
      </c>
      <c r="R86" t="b">
        <v>1</v>
      </c>
      <c r="S86">
        <f t="shared" si="2"/>
        <v>5.8516231108387107E-2</v>
      </c>
    </row>
    <row r="87" spans="1:19" x14ac:dyDescent="0.25">
      <c r="A87" s="4">
        <v>86</v>
      </c>
      <c r="B87" s="5">
        <v>1.2134415787506809</v>
      </c>
      <c r="C87" s="5">
        <v>805.79998779296875</v>
      </c>
      <c r="D87" s="5">
        <v>1.2130575180053711</v>
      </c>
      <c r="E87" s="5">
        <v>8.8881806732388213E-6</v>
      </c>
      <c r="F87" s="5">
        <v>1.5202244976535439E-3</v>
      </c>
      <c r="G87" s="5" t="b">
        <v>1</v>
      </c>
      <c r="H87" s="5">
        <v>750</v>
      </c>
      <c r="I87" s="5">
        <v>950</v>
      </c>
      <c r="J87" s="5">
        <v>0.54280632734298706</v>
      </c>
      <c r="K87" s="5">
        <v>0.29463869333267212</v>
      </c>
      <c r="L87" s="5">
        <v>1.0258075373013309E-3</v>
      </c>
      <c r="M87" s="5">
        <v>2.0516151562333111E-3</v>
      </c>
      <c r="N87" s="5">
        <v>3.8406074530961121E-4</v>
      </c>
      <c r="O87" s="5">
        <v>81130.811259404625</v>
      </c>
      <c r="P87" s="5">
        <v>100</v>
      </c>
      <c r="Q87" s="6">
        <v>280000</v>
      </c>
      <c r="R87" t="b">
        <v>1</v>
      </c>
      <c r="S87">
        <f t="shared" si="2"/>
        <v>3.1650534482675907E-2</v>
      </c>
    </row>
    <row r="88" spans="1:19" x14ac:dyDescent="0.25">
      <c r="A88" s="4">
        <v>87</v>
      </c>
      <c r="B88" s="5">
        <v>1.288186717062378</v>
      </c>
      <c r="C88" s="5">
        <v>757.70001220703125</v>
      </c>
      <c r="D88" s="5">
        <v>1.288069009780884</v>
      </c>
      <c r="E88" s="5">
        <v>3.0374906145880232E-8</v>
      </c>
      <c r="F88" s="5">
        <v>1.669995253905654E-3</v>
      </c>
      <c r="G88" s="5" t="b">
        <v>1</v>
      </c>
      <c r="H88" s="5">
        <v>650</v>
      </c>
      <c r="I88" s="5">
        <v>850</v>
      </c>
      <c r="J88" s="5">
        <v>0.54237622022628784</v>
      </c>
      <c r="K88" s="5">
        <v>0.29417195916175842</v>
      </c>
      <c r="L88" s="5">
        <v>7.5214048946854988E-4</v>
      </c>
      <c r="M88" s="5">
        <v>1.50428107008338E-3</v>
      </c>
      <c r="N88" s="5">
        <v>1.177072814944058E-4</v>
      </c>
      <c r="O88" s="5">
        <v>44820.793322168021</v>
      </c>
      <c r="P88" s="5">
        <v>100</v>
      </c>
      <c r="Q88" s="6">
        <v>520000</v>
      </c>
      <c r="R88" t="b">
        <v>1</v>
      </c>
      <c r="S88">
        <f t="shared" si="2"/>
        <v>9.1374394670695903E-3</v>
      </c>
    </row>
    <row r="89" spans="1:19" x14ac:dyDescent="0.25">
      <c r="A89" s="4">
        <v>88</v>
      </c>
      <c r="B89" s="5">
        <v>1.3779544541977089</v>
      </c>
      <c r="C89" s="5">
        <v>708.5999755859375</v>
      </c>
      <c r="D89" s="5">
        <v>1.3774845600128169</v>
      </c>
      <c r="E89" s="5">
        <v>2.7964256332779769E-7</v>
      </c>
      <c r="F89" s="5">
        <v>1.9382953178137541E-3</v>
      </c>
      <c r="G89" s="5" t="b">
        <v>1</v>
      </c>
      <c r="H89" s="5">
        <v>650</v>
      </c>
      <c r="I89" s="5">
        <v>850</v>
      </c>
      <c r="J89" s="5">
        <v>0.54114800691604614</v>
      </c>
      <c r="K89" s="5">
        <v>0.29284116625785828</v>
      </c>
      <c r="L89" s="5">
        <v>1.104613743557013E-3</v>
      </c>
      <c r="M89" s="5">
        <v>2.2092275321483612E-3</v>
      </c>
      <c r="N89" s="5">
        <v>4.6989418489196128E-4</v>
      </c>
      <c r="O89" s="5">
        <v>49906.990151633072</v>
      </c>
      <c r="P89" s="5">
        <v>100</v>
      </c>
      <c r="Q89" s="6">
        <v>240000</v>
      </c>
      <c r="R89" t="b">
        <v>1</v>
      </c>
      <c r="S89">
        <f t="shared" si="2"/>
        <v>3.4100850246574325E-2</v>
      </c>
    </row>
    <row r="90" spans="1:19" x14ac:dyDescent="0.25">
      <c r="A90">
        <v>89</v>
      </c>
      <c r="B90">
        <v>1.4831413464062131</v>
      </c>
      <c r="C90" s="14">
        <v>658.56390380859375</v>
      </c>
      <c r="D90">
        <v>1.4825431108474729</v>
      </c>
      <c r="E90">
        <f t="shared" si="3"/>
        <v>3.578857837411607E-7</v>
      </c>
      <c r="F90">
        <v>2.1405306179076429E-3</v>
      </c>
      <c r="G90" t="b">
        <v>1</v>
      </c>
      <c r="H90">
        <v>643.75</v>
      </c>
      <c r="I90">
        <v>681.25</v>
      </c>
      <c r="J90">
        <v>0.5407295823097229</v>
      </c>
      <c r="K90">
        <v>0.29238849878311157</v>
      </c>
      <c r="L90">
        <v>3.8235355443937439E-3</v>
      </c>
      <c r="M90">
        <v>7.6470710337162018E-3</v>
      </c>
      <c r="N90">
        <v>5.9823555873994572E-4</v>
      </c>
      <c r="O90">
        <v>8376.404098929992</v>
      </c>
      <c r="P90">
        <v>70</v>
      </c>
      <c r="Q90">
        <v>20000</v>
      </c>
      <c r="R90" t="b">
        <v>1</v>
      </c>
      <c r="S90">
        <f t="shared" si="2"/>
        <v>4.033570773207322E-2</v>
      </c>
    </row>
    <row r="91" spans="1:19" x14ac:dyDescent="0.25">
      <c r="A91" s="4">
        <v>90</v>
      </c>
      <c r="B91" s="5">
        <v>1.60411161733039</v>
      </c>
      <c r="C91" s="5">
        <v>609.79998779296875</v>
      </c>
      <c r="D91" s="5">
        <v>1.604020357131958</v>
      </c>
      <c r="E91" s="5">
        <v>2.517539599011798E-8</v>
      </c>
      <c r="F91" s="5">
        <v>2.622093772515655E-3</v>
      </c>
      <c r="G91" s="5" t="b">
        <v>1</v>
      </c>
      <c r="H91" s="5">
        <v>550</v>
      </c>
      <c r="I91" s="5">
        <v>750</v>
      </c>
      <c r="J91" s="5">
        <v>0.53919690847396851</v>
      </c>
      <c r="K91" s="5">
        <v>0.29073333740234381</v>
      </c>
      <c r="L91" s="5">
        <v>6.0284047030276298E-4</v>
      </c>
      <c r="M91" s="5">
        <v>1.2056808918714519E-3</v>
      </c>
      <c r="N91" s="5">
        <v>9.126019843241906E-5</v>
      </c>
      <c r="O91" s="5">
        <v>18180.824512185522</v>
      </c>
      <c r="P91" s="5">
        <v>100</v>
      </c>
      <c r="Q91" s="6">
        <v>800000</v>
      </c>
      <c r="R91" t="b">
        <v>1</v>
      </c>
      <c r="S91">
        <f t="shared" si="2"/>
        <v>5.6891426660382266E-3</v>
      </c>
    </row>
    <row r="92" spans="1:19" x14ac:dyDescent="0.25">
      <c r="A92" s="4">
        <v>91</v>
      </c>
      <c r="B92" s="5">
        <v>1.741164351173744</v>
      </c>
      <c r="C92" s="5">
        <v>562.20001220703125</v>
      </c>
      <c r="D92" s="5">
        <v>1.740996718406677</v>
      </c>
      <c r="E92" s="5">
        <v>1.181162048169426E-7</v>
      </c>
      <c r="F92" s="5">
        <v>3.0820043757557869E-3</v>
      </c>
      <c r="G92" s="5" t="b">
        <v>1</v>
      </c>
      <c r="H92" s="5">
        <v>450</v>
      </c>
      <c r="I92" s="5">
        <v>650</v>
      </c>
      <c r="J92" s="5">
        <v>0.53832542896270752</v>
      </c>
      <c r="K92" s="5">
        <v>0.28979423642158508</v>
      </c>
      <c r="L92" s="5">
        <v>1.055743025747712E-3</v>
      </c>
      <c r="M92" s="5">
        <v>2.1114861592650409E-3</v>
      </c>
      <c r="N92" s="5">
        <v>1.676327670667721E-4</v>
      </c>
      <c r="O92" s="5">
        <v>13159.62491975308</v>
      </c>
      <c r="P92" s="5">
        <v>100</v>
      </c>
      <c r="Q92" s="6">
        <v>260000</v>
      </c>
      <c r="R92" t="b">
        <v>1</v>
      </c>
      <c r="S92">
        <f t="shared" si="2"/>
        <v>9.627624580859839E-3</v>
      </c>
    </row>
    <row r="93" spans="1:19" x14ac:dyDescent="0.25">
      <c r="A93" s="4">
        <v>92</v>
      </c>
      <c r="B93" s="5">
        <v>1.8944949560389981</v>
      </c>
      <c r="C93" s="5">
        <v>517.469970703125</v>
      </c>
      <c r="D93" s="5">
        <v>1.894332647323608</v>
      </c>
      <c r="E93" s="5">
        <v>1.8221340724267069E-5</v>
      </c>
      <c r="F93" s="5">
        <v>3.5621318966150279E-3</v>
      </c>
      <c r="G93" s="5" t="b">
        <v>1</v>
      </c>
      <c r="H93" s="5">
        <v>450</v>
      </c>
      <c r="I93" s="5">
        <v>600</v>
      </c>
      <c r="J93" s="5">
        <v>0.53948569297790527</v>
      </c>
      <c r="K93" s="5">
        <v>0.29104483127593989</v>
      </c>
      <c r="L93" s="5">
        <v>1.907369959289003E-3</v>
      </c>
      <c r="M93" s="5">
        <v>3.8147398736327891E-3</v>
      </c>
      <c r="N93" s="5">
        <v>1.6230871538924771E-4</v>
      </c>
      <c r="O93" s="5">
        <v>19702.440117026021</v>
      </c>
      <c r="P93" s="5">
        <v>100</v>
      </c>
      <c r="Q93" s="6">
        <v>80000</v>
      </c>
      <c r="R93" t="b">
        <v>1</v>
      </c>
      <c r="S93">
        <f t="shared" si="2"/>
        <v>8.5673870427505419E-3</v>
      </c>
    </row>
    <row r="94" spans="1:19" x14ac:dyDescent="0.25">
      <c r="A94" s="4">
        <v>93</v>
      </c>
      <c r="B94" s="5">
        <v>2.0641515592264712</v>
      </c>
      <c r="C94" s="5">
        <v>475.44000244140619</v>
      </c>
      <c r="D94" s="5">
        <v>2.0638003349304199</v>
      </c>
      <c r="E94" s="5">
        <v>2.372558469687647E-7</v>
      </c>
      <c r="F94" s="5">
        <v>4.3005542829632759E-3</v>
      </c>
      <c r="G94" s="5" t="b">
        <v>1</v>
      </c>
      <c r="H94" s="5">
        <v>350</v>
      </c>
      <c r="I94" s="5">
        <v>550</v>
      </c>
      <c r="J94" s="5">
        <v>0.5380215048789978</v>
      </c>
      <c r="K94" s="5">
        <v>0.28946712613105768</v>
      </c>
      <c r="L94" s="5">
        <v>1.5531343033584851E-3</v>
      </c>
      <c r="M94" s="5">
        <v>3.1062685884535308E-3</v>
      </c>
      <c r="N94" s="5">
        <v>3.5122429605083377E-4</v>
      </c>
      <c r="O94" s="5">
        <v>422.41678094999202</v>
      </c>
      <c r="P94" s="5">
        <v>100</v>
      </c>
      <c r="Q94" s="6">
        <v>120000</v>
      </c>
      <c r="R94" t="b">
        <v>1</v>
      </c>
      <c r="S94">
        <f t="shared" si="2"/>
        <v>1.7015431569494494E-2</v>
      </c>
    </row>
    <row r="95" spans="1:19" x14ac:dyDescent="0.25">
      <c r="A95" s="4">
        <v>94</v>
      </c>
      <c r="B95" s="5">
        <v>2.2499874789877352</v>
      </c>
      <c r="C95" s="5">
        <v>437.20999145507813</v>
      </c>
      <c r="D95" s="5">
        <v>2.2498457431793208</v>
      </c>
      <c r="E95" s="5">
        <v>1.224155039381003E-5</v>
      </c>
      <c r="F95" s="5">
        <v>5.0168195739388466E-3</v>
      </c>
      <c r="G95" s="5" t="b">
        <v>1</v>
      </c>
      <c r="H95" s="5">
        <v>350</v>
      </c>
      <c r="I95" s="5">
        <v>550</v>
      </c>
      <c r="J95" s="5">
        <v>0.54204505681991577</v>
      </c>
      <c r="K95" s="5">
        <v>0.29381284117698669</v>
      </c>
      <c r="L95" s="5">
        <v>1.2776124512867001E-3</v>
      </c>
      <c r="M95" s="5">
        <v>2.5552248116582632E-3</v>
      </c>
      <c r="N95" s="5">
        <v>1.4173580841392311E-4</v>
      </c>
      <c r="O95" s="5">
        <v>310.40811455219898</v>
      </c>
      <c r="P95" s="5">
        <v>100</v>
      </c>
      <c r="Q95" s="6">
        <v>180000</v>
      </c>
      <c r="R95" t="b">
        <v>1</v>
      </c>
      <c r="S95">
        <f t="shared" si="2"/>
        <v>6.2994043183604628E-3</v>
      </c>
    </row>
    <row r="96" spans="1:19" x14ac:dyDescent="0.25">
      <c r="A96" s="4">
        <v>95</v>
      </c>
      <c r="B96" s="5">
        <v>2.451611489865392</v>
      </c>
      <c r="C96" s="5">
        <v>402.47000122070313</v>
      </c>
      <c r="D96" s="5">
        <v>2.451360940933228</v>
      </c>
      <c r="E96" s="5">
        <v>9.8749660537578166E-7</v>
      </c>
      <c r="F96" s="5">
        <v>5.8587524108588704E-3</v>
      </c>
      <c r="G96" s="5" t="b">
        <v>1</v>
      </c>
      <c r="H96" s="5">
        <v>350</v>
      </c>
      <c r="I96" s="5">
        <v>550</v>
      </c>
      <c r="J96" s="5">
        <v>0.54326903820037842</v>
      </c>
      <c r="K96" s="5">
        <v>0.29514124989509583</v>
      </c>
      <c r="L96" s="5">
        <v>1.4519475784200151E-3</v>
      </c>
      <c r="M96" s="5">
        <v>2.9038952197879549E-3</v>
      </c>
      <c r="N96" s="5">
        <v>2.5054893216447383E-4</v>
      </c>
      <c r="O96" s="5">
        <v>113.80196059615569</v>
      </c>
      <c r="P96" s="5">
        <v>100</v>
      </c>
      <c r="Q96" s="6">
        <v>140000</v>
      </c>
      <c r="R96" t="b">
        <v>1</v>
      </c>
      <c r="S96">
        <f t="shared" si="2"/>
        <v>1.0219764966847599E-2</v>
      </c>
    </row>
    <row r="97" spans="1:19" x14ac:dyDescent="0.25">
      <c r="A97" s="4">
        <v>96</v>
      </c>
      <c r="B97" s="5">
        <v>2.668338221910707</v>
      </c>
      <c r="C97" s="5">
        <v>370.6400146484375</v>
      </c>
      <c r="D97" s="5">
        <v>2.6677896976470952</v>
      </c>
      <c r="E97" s="5">
        <v>1.853204230428673E-5</v>
      </c>
      <c r="F97" s="5">
        <v>7.0040496066212654E-3</v>
      </c>
      <c r="G97" s="5" t="b">
        <v>1</v>
      </c>
      <c r="H97" s="5">
        <v>250</v>
      </c>
      <c r="I97" s="5">
        <v>450</v>
      </c>
      <c r="J97" s="5">
        <v>0.54896694421768188</v>
      </c>
      <c r="K97" s="5">
        <v>0.30136469006538391</v>
      </c>
      <c r="L97" s="5">
        <v>1.5847310651014241E-3</v>
      </c>
      <c r="M97" s="5">
        <v>3.1694620847702031E-3</v>
      </c>
      <c r="N97" s="5">
        <v>5.4852426361229334E-4</v>
      </c>
      <c r="O97" s="5">
        <v>2548.071359190028</v>
      </c>
      <c r="P97" s="5">
        <v>100</v>
      </c>
      <c r="Q97" s="6">
        <v>120000</v>
      </c>
      <c r="R97" t="b">
        <v>1</v>
      </c>
      <c r="S97">
        <f t="shared" si="2"/>
        <v>2.0556774216557661E-2</v>
      </c>
    </row>
    <row r="98" spans="1:19" x14ac:dyDescent="0.25">
      <c r="A98" s="4">
        <v>97</v>
      </c>
      <c r="B98" s="5">
        <v>2.8991416438778361</v>
      </c>
      <c r="C98" s="5">
        <v>342.67001342773438</v>
      </c>
      <c r="D98" s="5">
        <v>2.8987081050872798</v>
      </c>
      <c r="E98" s="5">
        <v>4.6545892473659478E-6</v>
      </c>
      <c r="F98" s="5">
        <v>8.1189507618546486E-3</v>
      </c>
      <c r="G98" s="5" t="b">
        <v>1</v>
      </c>
      <c r="H98" s="5">
        <v>250</v>
      </c>
      <c r="I98" s="5">
        <v>450</v>
      </c>
      <c r="J98" s="5">
        <v>0.55779224634170532</v>
      </c>
      <c r="K98" s="5">
        <v>0.31113219261169428</v>
      </c>
      <c r="L98" s="5">
        <v>1.7638939596215119E-3</v>
      </c>
      <c r="M98" s="5">
        <v>3.5277879796922211E-3</v>
      </c>
      <c r="N98" s="5">
        <v>4.3353879055541E-4</v>
      </c>
      <c r="O98" s="5">
        <v>59.259805196770728</v>
      </c>
      <c r="P98" s="5">
        <v>100</v>
      </c>
      <c r="Q98" s="6">
        <v>100000</v>
      </c>
      <c r="R98" t="b">
        <v>1</v>
      </c>
      <c r="S98">
        <f t="shared" si="2"/>
        <v>1.4954039636901523E-2</v>
      </c>
    </row>
    <row r="99" spans="1:19" x14ac:dyDescent="0.25">
      <c r="A99" s="16">
        <v>98</v>
      </c>
      <c r="B99" s="16">
        <v>3.1426150900261072</v>
      </c>
      <c r="C99" s="16">
        <v>317.44000244140619</v>
      </c>
      <c r="D99" s="16">
        <v>3.142382144927979</v>
      </c>
      <c r="E99" s="16">
        <v>1.2216537470521871E-7</v>
      </c>
      <c r="F99" s="16">
        <v>9.36083123087883E-3</v>
      </c>
      <c r="G99" s="16" t="b">
        <v>1</v>
      </c>
      <c r="H99" s="16">
        <v>275</v>
      </c>
      <c r="I99" s="16">
        <v>375</v>
      </c>
      <c r="J99" s="16">
        <v>0.55945098400115967</v>
      </c>
      <c r="K99" s="16">
        <v>0.31298542022705078</v>
      </c>
      <c r="L99" s="16">
        <v>1.0971736478156151E-3</v>
      </c>
      <c r="M99" s="16">
        <v>2.194347325712442E-3</v>
      </c>
      <c r="N99" s="16">
        <v>2.329450981286563E-4</v>
      </c>
      <c r="O99" s="16">
        <v>2853.0617940883499</v>
      </c>
      <c r="P99" s="16">
        <v>150</v>
      </c>
      <c r="Q99" s="16">
        <v>260000</v>
      </c>
      <c r="R99" t="b">
        <v>1</v>
      </c>
      <c r="S99">
        <f t="shared" si="2"/>
        <v>7.4124603699628096E-3</v>
      </c>
    </row>
    <row r="100" spans="1:19" x14ac:dyDescent="0.25">
      <c r="A100" s="16">
        <v>99</v>
      </c>
      <c r="B100" s="16">
        <v>3.396941596840962</v>
      </c>
      <c r="C100" s="16">
        <v>296.010009765625</v>
      </c>
      <c r="D100" s="16">
        <v>3.3971948623657231</v>
      </c>
      <c r="E100" s="16">
        <v>6.5445474319858477E-6</v>
      </c>
      <c r="F100" s="16">
        <v>1.0850341059267519E-2</v>
      </c>
      <c r="G100" s="16" t="b">
        <v>1</v>
      </c>
      <c r="H100" s="16">
        <v>225</v>
      </c>
      <c r="I100" s="16">
        <v>325</v>
      </c>
      <c r="J100" s="16">
        <v>0.56075197458267212</v>
      </c>
      <c r="K100" s="16">
        <v>0.31444278359413153</v>
      </c>
      <c r="L100" s="16">
        <v>1.40187993645668E-3</v>
      </c>
      <c r="M100" s="16">
        <v>2.8037598822265859E-3</v>
      </c>
      <c r="N100" s="16">
        <v>2.5326552476068192E-4</v>
      </c>
      <c r="O100" s="16">
        <v>2123.5047142568869</v>
      </c>
      <c r="P100" s="16">
        <v>125</v>
      </c>
      <c r="Q100" s="16">
        <v>160000</v>
      </c>
      <c r="R100" t="b">
        <v>0</v>
      </c>
      <c r="S100">
        <f t="shared" si="2"/>
        <v>7.4556926441187599E-3</v>
      </c>
    </row>
    <row r="101" spans="1:19" x14ac:dyDescent="0.25">
      <c r="A101" s="16">
        <v>100</v>
      </c>
      <c r="B101" s="16">
        <v>3.6598783159560249</v>
      </c>
      <c r="C101" s="16">
        <v>277.489990234375</v>
      </c>
      <c r="D101" s="16">
        <v>3.659634113311768</v>
      </c>
      <c r="E101" s="16">
        <v>5.9604644775390618E-8</v>
      </c>
      <c r="F101" s="16">
        <v>1.1864723637700079E-2</v>
      </c>
      <c r="G101" s="16" t="b">
        <v>1</v>
      </c>
      <c r="H101" s="16">
        <v>225</v>
      </c>
      <c r="I101" s="16">
        <v>325</v>
      </c>
      <c r="J101" s="16">
        <v>0.55893903970718384</v>
      </c>
      <c r="K101" s="16">
        <v>0.31241282820701599</v>
      </c>
      <c r="L101" s="16">
        <v>1.056295497936046E-3</v>
      </c>
      <c r="M101" s="16">
        <v>2.112590940669179E-3</v>
      </c>
      <c r="N101" s="16">
        <v>2.4420264425728527E-4</v>
      </c>
      <c r="O101" s="16">
        <v>887.96277450411105</v>
      </c>
      <c r="P101" s="16">
        <v>125</v>
      </c>
      <c r="Q101" s="16">
        <v>280000</v>
      </c>
      <c r="R101" t="b">
        <v>0</v>
      </c>
      <c r="S101">
        <f t="shared" si="2"/>
        <v>6.6724252331732299E-3</v>
      </c>
    </row>
    <row r="102" spans="1:19" x14ac:dyDescent="0.25">
      <c r="A102" s="16">
        <v>101</v>
      </c>
      <c r="B102" s="16">
        <v>3.9287583783681899</v>
      </c>
      <c r="C102" s="16">
        <v>261.69000244140619</v>
      </c>
      <c r="D102" s="16">
        <v>3.9284789562225342</v>
      </c>
      <c r="E102" s="16">
        <v>1.20686563604977E-5</v>
      </c>
      <c r="F102" s="16">
        <v>1.258540060371161E-2</v>
      </c>
      <c r="G102" s="16" t="b">
        <v>1</v>
      </c>
      <c r="H102" s="16">
        <v>225</v>
      </c>
      <c r="I102" s="16">
        <v>325</v>
      </c>
      <c r="J102" s="16">
        <v>0.56471312046051025</v>
      </c>
      <c r="K102" s="16">
        <v>0.31890091300010681</v>
      </c>
      <c r="L102" s="16">
        <v>3.9931247690264248E-3</v>
      </c>
      <c r="M102" s="16">
        <v>7.9862494021654129E-3</v>
      </c>
      <c r="N102" s="16">
        <v>2.7942214565568341E-4</v>
      </c>
      <c r="O102" s="16">
        <v>24.661866731702229</v>
      </c>
      <c r="P102" s="16">
        <v>125</v>
      </c>
      <c r="Q102" s="16">
        <v>20000</v>
      </c>
      <c r="R102" t="b">
        <v>0</v>
      </c>
      <c r="S102">
        <f t="shared" si="2"/>
        <v>7.1122252565641725E-3</v>
      </c>
    </row>
    <row r="103" spans="1:19" x14ac:dyDescent="0.25">
      <c r="Q103" s="15" t="s">
        <v>19</v>
      </c>
      <c r="S103">
        <f>AVERAGE(S2:S102)</f>
        <v>5.6925956117222176E-2</v>
      </c>
    </row>
    <row r="104" spans="1:19" x14ac:dyDescent="0.25">
      <c r="Q104" s="15" t="s">
        <v>20</v>
      </c>
      <c r="S104" cm="1">
        <f t="array" ref="S104">MEDIAN(ABS(S2:S102))</f>
        <v>1.4954039636901523E-2</v>
      </c>
    </row>
    <row r="105" spans="1:19" x14ac:dyDescent="0.25">
      <c r="Q105" s="15" t="s">
        <v>22</v>
      </c>
      <c r="S105">
        <f>_xlfn.STDEV.S(S2:S102)</f>
        <v>0.10815046673686805</v>
      </c>
    </row>
    <row r="106" spans="1:19" x14ac:dyDescent="0.25">
      <c r="Q106" s="15" t="s">
        <v>21</v>
      </c>
      <c r="S106">
        <f>_xlfn.PERCENTILE.INC(S2:S102,0.95)</f>
        <v>0.29131995435649394</v>
      </c>
    </row>
    <row r="107" spans="1:19" x14ac:dyDescent="0.25">
      <c r="Q107" s="15" t="s">
        <v>23</v>
      </c>
      <c r="S107">
        <f>MAX(S2:S102)</f>
        <v>0.60810119606681023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2025-10-14T20:28:48Z</dcterms:created>
  <dcterms:modified xsi:type="dcterms:W3CDTF">2026-08-17T00:05:42Z</dcterms:modified>
</cp:coreProperties>
</file>