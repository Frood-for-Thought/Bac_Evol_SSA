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E3F0D5FF-A363-469D-9A29-461B8269C5A6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1" l="1"/>
  <c r="E84" i="1"/>
  <c r="E77" i="1"/>
  <c r="E75" i="1"/>
  <c r="E73" i="1"/>
  <c r="E29" i="1"/>
  <c r="E27" i="1"/>
  <c r="N25" i="1"/>
  <c r="S25" i="1" s="1"/>
  <c r="S9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5" i="1" l="1"/>
  <c r="S106" i="1"/>
  <c r="S107" i="1"/>
  <c r="S104" i="1" a="1"/>
  <c r="S104" i="1" s="1"/>
  <c r="S10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<sst xmlns="http://schemas.openxmlformats.org/spreadsheetml/2006/main" count="24" uniqueCount="24">
  <si>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</si>
  <si>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</si>
  <si>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</si>
  <si>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</si>
  <si>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</si>
  <si>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</si>
  <si>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</si>
  <si>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</si>
  <si>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</si>
  <si>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</si>
  <si>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</si>
  <si>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</si>
  <si>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</si>
  <si>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</si>
  <si>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</si>
  <si>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</si>
  <si>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</si>
  <si>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</si>
  <si>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</si>
  <si>
    <t>Mean Abs Percent Error</t>
  </si>
  <si>
    <t>Median absolute percent error</t>
  </si>
  <si>
    <t>95th percentile</t>
  </si>
  <si>
    <t>Standard Deviation of absolute percent error</t>
  </si>
  <si>
    <t>Maximum absolute perc.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</si>
</sst>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4" fillId="3" borderId="9" applyNumberFormat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  <xf numFmtId="0" fontId="3" fillId="0" borderId="0" xfId="0" applyFont="1"/>
    <xf numFmtId="0" fontId="4" fillId="3" borderId="9" xfId="2"/>
  </cellXfs>
  <cellStyles count="3">
    <cellStyle name="Good" xfId="1" builtinId="26"/>
    <cellStyle name="Input" xfId="2" builtinId="20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Fitted Secant vs Deme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Sheet1!$A$2:$A$102</c:f>
              <c:numCache>
                <c:formatCode>General</c:formatCode>
                <c:ptCount val="10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</c:numCache>
            </c:numRef>
          </c:xVal>
          <c:yVal>
            <c:numRef>
              <c:f>Sheet1!$F$2:$F$102</c:f>
              <c:numCache>
                <c:formatCode>General</c:formatCode>
                <c:ptCount val="101"/>
                <c:pt idx="0">
                  <c:v>5.3555359045276418E-6</c:v>
                </c:pt>
                <c:pt idx="1">
                  <c:v>8.5422470874618739E-6</c:v>
                </c:pt>
                <c:pt idx="2">
                  <c:v>9.2652926468872465E-6</c:v>
                </c:pt>
                <c:pt idx="3">
                  <c:v>1.2053801583533639E-5</c:v>
                </c:pt>
                <c:pt idx="4">
                  <c:v>1.4981729691498909E-5</c:v>
                </c:pt>
                <c:pt idx="5">
                  <c:v>2.491233135515358E-5</c:v>
                </c:pt>
                <c:pt idx="6">
                  <c:v>2.0959972971468229E-5</c:v>
                </c:pt>
                <c:pt idx="7">
                  <c:v>3.1375173421110958E-5</c:v>
                </c:pt>
                <c:pt idx="8">
                  <c:v>3.5167820897186168E-5</c:v>
                </c:pt>
                <c:pt idx="9">
                  <c:v>4.5608339860336862E-5</c:v>
                </c:pt>
                <c:pt idx="10">
                  <c:v>9.7954660304822028E-5</c:v>
                </c:pt>
                <c:pt idx="11">
                  <c:v>6.7063774622511119E-5</c:v>
                </c:pt>
                <c:pt idx="12">
                  <c:v>8.6557003669440746E-5</c:v>
                </c:pt>
                <c:pt idx="13">
                  <c:v>1.109635559259914E-4</c:v>
                </c:pt>
                <c:pt idx="14">
                  <c:v>1.470321585657075E-4</c:v>
                </c:pt>
                <c:pt idx="15">
                  <c:v>1.793150877347216E-4</c:v>
                </c:pt>
                <c:pt idx="16">
                  <c:v>2.3557996610179541E-4</c:v>
                </c:pt>
                <c:pt idx="17">
                  <c:v>3.0343793332576752E-4</c:v>
                </c:pt>
                <c:pt idx="18">
                  <c:v>3.7227064603939652E-4</c:v>
                </c:pt>
                <c:pt idx="19">
                  <c:v>4.6213998575694859E-4</c:v>
                </c:pt>
                <c:pt idx="20">
                  <c:v>5.2124843932688236E-4</c:v>
                </c:pt>
                <c:pt idx="21">
                  <c:v>6.9150049239397049E-4</c:v>
                </c:pt>
                <c:pt idx="22">
                  <c:v>8.8741042418405414E-4</c:v>
                </c:pt>
                <c:pt idx="23">
                  <c:v>1.102049835026264E-3</c:v>
                </c:pt>
                <c:pt idx="24">
                  <c:v>1.315595000050962E-3</c:v>
                </c:pt>
                <c:pt idx="25">
                  <c:v>1.6366974450647831E-3</c:v>
                </c:pt>
                <c:pt idx="26">
                  <c:v>1.9155516056343911E-3</c:v>
                </c:pt>
                <c:pt idx="27">
                  <c:v>2.2003364283591509E-3</c:v>
                </c:pt>
                <c:pt idx="28">
                  <c:v>2.767425030469894E-3</c:v>
                </c:pt>
                <c:pt idx="29">
                  <c:v>3.2203758601099248E-3</c:v>
                </c:pt>
                <c:pt idx="30">
                  <c:v>3.7450545933097601E-3</c:v>
                </c:pt>
                <c:pt idx="31">
                  <c:v>4.4279671274125576E-3</c:v>
                </c:pt>
                <c:pt idx="32">
                  <c:v>5.1063201390206814E-3</c:v>
                </c:pt>
                <c:pt idx="33">
                  <c:v>5.738699808716774E-3</c:v>
                </c:pt>
                <c:pt idx="34">
                  <c:v>6.7103966139256954E-3</c:v>
                </c:pt>
                <c:pt idx="35">
                  <c:v>7.5418823398649693E-3</c:v>
                </c:pt>
                <c:pt idx="36">
                  <c:v>8.3334473893046379E-3</c:v>
                </c:pt>
                <c:pt idx="37">
                  <c:v>9.0668704360723495E-3</c:v>
                </c:pt>
                <c:pt idx="38">
                  <c:v>9.6929138526320457E-3</c:v>
                </c:pt>
                <c:pt idx="39">
                  <c:v>1.081276126205921E-2</c:v>
                </c:pt>
                <c:pt idx="40">
                  <c:v>1.1488994583487511E-2</c:v>
                </c:pt>
                <c:pt idx="41">
                  <c:v>1.190994773060083E-2</c:v>
                </c:pt>
                <c:pt idx="42">
                  <c:v>1.2295607477426531E-2</c:v>
                </c:pt>
                <c:pt idx="43">
                  <c:v>1.2432681396603581E-2</c:v>
                </c:pt>
                <c:pt idx="44">
                  <c:v>1.26158781349659E-2</c:v>
                </c:pt>
                <c:pt idx="45">
                  <c:v>1.269411388784647E-2</c:v>
                </c:pt>
                <c:pt idx="46">
                  <c:v>1.2964128516614441E-2</c:v>
                </c:pt>
                <c:pt idx="47">
                  <c:v>1.2765428982675081E-2</c:v>
                </c:pt>
                <c:pt idx="48">
                  <c:v>1.2908639386296271E-2</c:v>
                </c:pt>
                <c:pt idx="49">
                  <c:v>1.2894016690552229E-2</c:v>
                </c:pt>
                <c:pt idx="50">
                  <c:v>1.2894292362034321E-2</c:v>
                </c:pt>
                <c:pt idx="51">
                  <c:v>1.293347496539354E-2</c:v>
                </c:pt>
                <c:pt idx="52">
                  <c:v>1.287352479994297E-2</c:v>
                </c:pt>
                <c:pt idx="53">
                  <c:v>1.2668830342590811E-2</c:v>
                </c:pt>
                <c:pt idx="54">
                  <c:v>1.2556559406220909E-2</c:v>
                </c:pt>
                <c:pt idx="55">
                  <c:v>1.239069830626249E-2</c:v>
                </c:pt>
                <c:pt idx="56">
                  <c:v>1.208715792745352E-2</c:v>
                </c:pt>
                <c:pt idx="57">
                  <c:v>1.1716962791979309E-2</c:v>
                </c:pt>
                <c:pt idx="58">
                  <c:v>1.1121031828224661E-2</c:v>
                </c:pt>
                <c:pt idx="59">
                  <c:v>9.9135348573327065E-3</c:v>
                </c:pt>
                <c:pt idx="60">
                  <c:v>9.1216601431369781E-3</c:v>
                </c:pt>
                <c:pt idx="61">
                  <c:v>8.6211152374744415E-3</c:v>
                </c:pt>
                <c:pt idx="62">
                  <c:v>8.0162491649389267E-3</c:v>
                </c:pt>
                <c:pt idx="63">
                  <c:v>7.1941041387617588E-3</c:v>
                </c:pt>
                <c:pt idx="64">
                  <c:v>6.418637465685606E-3</c:v>
                </c:pt>
                <c:pt idx="65">
                  <c:v>5.5512646213173866E-3</c:v>
                </c:pt>
                <c:pt idx="66">
                  <c:v>4.971642978489399E-3</c:v>
                </c:pt>
                <c:pt idx="67">
                  <c:v>4.4020856730639926E-3</c:v>
                </c:pt>
                <c:pt idx="68">
                  <c:v>3.7427872885018591E-3</c:v>
                </c:pt>
                <c:pt idx="69">
                  <c:v>3.306543687358499E-3</c:v>
                </c:pt>
                <c:pt idx="70">
                  <c:v>2.928940579295158E-3</c:v>
                </c:pt>
                <c:pt idx="71">
                  <c:v>2.5045967195183039E-3</c:v>
                </c:pt>
                <c:pt idx="72">
                  <c:v>2.1619985345751051E-3</c:v>
                </c:pt>
                <c:pt idx="73">
                  <c:v>1.9356720149517059E-3</c:v>
                </c:pt>
                <c:pt idx="74">
                  <c:v>1.749545917846262E-3</c:v>
                </c:pt>
                <c:pt idx="75">
                  <c:v>1.475372700951993E-3</c:v>
                </c:pt>
                <c:pt idx="76">
                  <c:v>1.4161261497065421E-3</c:v>
                </c:pt>
                <c:pt idx="77">
                  <c:v>1.2568847741931679E-3</c:v>
                </c:pt>
                <c:pt idx="78">
                  <c:v>1.2549993116408591E-3</c:v>
                </c:pt>
                <c:pt idx="79">
                  <c:v>1.152220065705478E-3</c:v>
                </c:pt>
                <c:pt idx="80">
                  <c:v>1.122568035498261E-3</c:v>
                </c:pt>
                <c:pt idx="81">
                  <c:v>1.1722173076122999E-3</c:v>
                </c:pt>
                <c:pt idx="82">
                  <c:v>1.40053400807828E-3</c:v>
                </c:pt>
                <c:pt idx="83">
                  <c:v>1.278836745768785E-3</c:v>
                </c:pt>
                <c:pt idx="84">
                  <c:v>1.344336313195527E-3</c:v>
                </c:pt>
                <c:pt idx="85">
                  <c:v>1.5202244976535439E-3</c:v>
                </c:pt>
                <c:pt idx="86">
                  <c:v>1.669995253905654E-3</c:v>
                </c:pt>
                <c:pt idx="87">
                  <c:v>1.9382953178137541E-3</c:v>
                </c:pt>
                <c:pt idx="88">
                  <c:v>2.1405306179076429E-3</c:v>
                </c:pt>
                <c:pt idx="89">
                  <c:v>2.622093772515655E-3</c:v>
                </c:pt>
                <c:pt idx="90">
                  <c:v>3.0820043757557869E-3</c:v>
                </c:pt>
                <c:pt idx="91">
                  <c:v>3.5621318966150279E-3</c:v>
                </c:pt>
                <c:pt idx="92">
                  <c:v>4.3005542829632759E-3</c:v>
                </c:pt>
                <c:pt idx="93">
                  <c:v>5.0168195739388466E-3</c:v>
                </c:pt>
                <c:pt idx="94">
                  <c:v>5.8587524108588704E-3</c:v>
                </c:pt>
                <c:pt idx="95">
                  <c:v>7.0040496066212654E-3</c:v>
                </c:pt>
                <c:pt idx="96">
                  <c:v>8.1189507618546486E-3</c:v>
                </c:pt>
                <c:pt idx="97">
                  <c:v>9.36083123087883E-3</c:v>
                </c:pt>
                <c:pt idx="98">
                  <c:v>1.0850341059267519E-2</c:v>
                </c:pt>
                <c:pt idx="99">
                  <c:v>1.1864723637700079E-2</c:v>
                </c:pt>
                <c:pt idx="100">
                  <c:v>1.258540060371161E-2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60-49C6-89B8-7BE8DD5B8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916224"/>
        <c:axId val="410937328"/>
      </c:scatterChart>
      <c:valAx>
        <c:axId val="190091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937328"/>
        <c:crosses val="autoZero"/>
        <c:crossBetween val="midCat"/>
      </c:valAx>
      <c:valAx>
        <c:axId val="41093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1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102</xdr:row>
      <xdr:rowOff>85725</xdr:rowOff>
    </xdr:from>
    <xdr:to>
      <xdr:col>14</xdr:col>
      <xdr:colOff>133350</xdr:colOff>
      <xdr:row>121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95FFBA-09EE-E193-80AE-5B8C3C3A0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7"/>
  <sheetViews>
    <sheetView tabSelected="1" workbookViewId="0">
      <pane ySplit="1" topLeftCell="A80" activePane="bottomLeft" state="frozen"/>
      <selection pane="bottomLeft" activeCell="L97" sqref="L97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8.85546875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29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16">
        <v>39</v>
      </c>
      <c r="B40" s="16">
        <v>3.2541909293254512</v>
      </c>
      <c r="C40" s="16">
        <v>307.510009765625</v>
      </c>
      <c r="D40" s="16">
        <v>3.2545876502990718</v>
      </c>
      <c r="E40" s="16">
        <v>5.2791488087677862E-6</v>
      </c>
      <c r="F40" s="16">
        <v>9.6929138526320457E-3</v>
      </c>
      <c r="G40" s="16" t="b">
        <v>1</v>
      </c>
      <c r="H40" s="16">
        <v>275</v>
      </c>
      <c r="I40" s="16">
        <v>375</v>
      </c>
      <c r="J40" s="16">
        <v>0.55926549434661865</v>
      </c>
      <c r="K40" s="16">
        <v>0.31277787685394293</v>
      </c>
      <c r="L40" s="16">
        <v>7.9092084707228154E-4</v>
      </c>
      <c r="M40" s="16">
        <v>1.581841614097357E-3</v>
      </c>
      <c r="N40" s="16">
        <v>3.9672097362108971E-4</v>
      </c>
      <c r="O40" s="16">
        <v>1995.68763397875</v>
      </c>
      <c r="P40" s="16">
        <v>125</v>
      </c>
      <c r="Q40" s="16">
        <v>500000</v>
      </c>
      <c r="R40" t="b">
        <v>0</v>
      </c>
      <c r="S40">
        <f t="shared" si="0"/>
        <v>1.2191078588720808E-2</v>
      </c>
    </row>
    <row r="41" spans="1:19" x14ac:dyDescent="0.25">
      <c r="A41" s="4">
        <v>40</v>
      </c>
      <c r="B41" s="5">
        <v>3.4019493212427241</v>
      </c>
      <c r="C41" s="5">
        <v>295.42999267578119</v>
      </c>
      <c r="D41">
        <v>3.4018938541412349</v>
      </c>
      <c r="E41" s="5">
        <v>2.2232891296880548E-6</v>
      </c>
      <c r="F41" s="16">
        <v>1.081276126205921E-2</v>
      </c>
      <c r="G41" s="5" t="b">
        <v>1</v>
      </c>
      <c r="H41" s="5">
        <v>150</v>
      </c>
      <c r="I41" s="5">
        <v>350</v>
      </c>
      <c r="J41" s="5">
        <v>0.55928552150726318</v>
      </c>
      <c r="K41" s="5">
        <v>0.31280028820037842</v>
      </c>
      <c r="L41" s="5">
        <v>1.7686161103180401E-3</v>
      </c>
      <c r="M41" s="5">
        <v>3.537232289090753E-3</v>
      </c>
      <c r="N41">
        <v>5.5467101489181658E-5</v>
      </c>
      <c r="O41" s="5">
        <v>47.565469816714263</v>
      </c>
      <c r="P41" s="5">
        <v>100</v>
      </c>
      <c r="Q41" s="6">
        <v>100000</v>
      </c>
      <c r="R41" t="b">
        <v>0</v>
      </c>
      <c r="S41">
        <f t="shared" si="0"/>
        <v>1.6304505520652393E-3</v>
      </c>
    </row>
    <row r="42" spans="1:19" x14ac:dyDescent="0.25">
      <c r="A42" s="4">
        <v>41</v>
      </c>
      <c r="B42" s="5">
        <v>3.540332478193541</v>
      </c>
      <c r="C42" s="5">
        <v>285.42999267578119</v>
      </c>
      <c r="D42">
        <v>3.5418522357940669</v>
      </c>
      <c r="E42" s="5">
        <v>3.3257492759730671E-6</v>
      </c>
      <c r="F42" s="16">
        <v>1.1488994583487511E-2</v>
      </c>
      <c r="G42" s="5" t="b">
        <v>1</v>
      </c>
      <c r="H42" s="5">
        <v>150</v>
      </c>
      <c r="I42" s="5">
        <v>350</v>
      </c>
      <c r="J42" s="5">
        <v>0.55870705842971802</v>
      </c>
      <c r="K42" s="5">
        <v>0.31215357780456537</v>
      </c>
      <c r="L42" s="5">
        <v>1.020054863131045E-3</v>
      </c>
      <c r="M42" s="5">
        <v>2.0401098299771552E-3</v>
      </c>
      <c r="N42">
        <v>2.1688224736493567E-4</v>
      </c>
      <c r="O42" s="5">
        <v>334.31924065187769</v>
      </c>
      <c r="P42" s="5">
        <v>100</v>
      </c>
      <c r="Q42" s="6">
        <v>300000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16">
        <v>1.190994773060083E-2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16">
        <v>43</v>
      </c>
      <c r="B44" s="16">
        <v>3.782840056259261</v>
      </c>
      <c r="C44" s="16">
        <v>270</v>
      </c>
      <c r="D44" s="16">
        <v>3.7827825546264648</v>
      </c>
      <c r="E44" s="16">
        <v>7.7818640420446172E-11</v>
      </c>
      <c r="F44" s="16">
        <v>1.2295607477426531E-2</v>
      </c>
      <c r="G44" s="16" t="b">
        <v>1</v>
      </c>
      <c r="H44" s="16">
        <v>225</v>
      </c>
      <c r="I44" s="16">
        <v>325</v>
      </c>
      <c r="J44" s="16">
        <v>0.55875831842422485</v>
      </c>
      <c r="K44" s="16">
        <v>0.31221085786819458</v>
      </c>
      <c r="L44" s="16">
        <v>9.0642568483412895E-4</v>
      </c>
      <c r="M44" s="16">
        <v>1.8128514057025309E-3</v>
      </c>
      <c r="N44" s="16">
        <v>5.7501632796608249E-5</v>
      </c>
      <c r="O44" s="16">
        <v>826.8182084818817</v>
      </c>
      <c r="P44" s="16">
        <v>125</v>
      </c>
      <c r="Q44" s="16">
        <v>380000</v>
      </c>
      <c r="R44" t="b">
        <v>0</v>
      </c>
      <c r="S44">
        <f t="shared" si="0"/>
        <v>1.5200651346985556E-3</v>
      </c>
    </row>
    <row r="45" spans="1:19" x14ac:dyDescent="0.25">
      <c r="A45" s="16">
        <v>44</v>
      </c>
      <c r="B45" s="16">
        <v>3.884288006826818</v>
      </c>
      <c r="C45" s="16">
        <v>264.33999633789063</v>
      </c>
      <c r="D45" s="16">
        <v>3.884538888931274</v>
      </c>
      <c r="E45" s="16">
        <v>7.9085680226853583E-9</v>
      </c>
      <c r="F45" s="16">
        <v>1.2432681396603581E-2</v>
      </c>
      <c r="G45" s="16" t="b">
        <v>1</v>
      </c>
      <c r="H45" s="16">
        <v>225</v>
      </c>
      <c r="I45" s="16">
        <v>325</v>
      </c>
      <c r="J45" s="16">
        <v>0.56044298410415649</v>
      </c>
      <c r="K45" s="16">
        <v>0.31409633159637451</v>
      </c>
      <c r="L45" s="16">
        <v>1.0591376856932311E-3</v>
      </c>
      <c r="M45" s="16">
        <v>2.118275268003345E-3</v>
      </c>
      <c r="N45" s="16">
        <v>2.5088210445689541E-4</v>
      </c>
      <c r="O45" s="16">
        <v>808.68689281620379</v>
      </c>
      <c r="P45" s="16">
        <v>125</v>
      </c>
      <c r="Q45" s="16">
        <v>280000</v>
      </c>
      <c r="R45" t="b">
        <v>0</v>
      </c>
      <c r="S45">
        <f t="shared" si="0"/>
        <v>6.4588955302994615E-3</v>
      </c>
    </row>
    <row r="46" spans="1:19" x14ac:dyDescent="0.25">
      <c r="A46" s="16">
        <v>45</v>
      </c>
      <c r="B46" s="16">
        <v>3.9710387796361699</v>
      </c>
      <c r="C46" s="16">
        <v>259.80999755859381</v>
      </c>
      <c r="D46" s="16">
        <v>3.9713747501373291</v>
      </c>
      <c r="E46" s="16">
        <v>3.143105459457729E-6</v>
      </c>
      <c r="F46" s="16">
        <v>1.26158781349659E-2</v>
      </c>
      <c r="G46" s="16" t="b">
        <v>1</v>
      </c>
      <c r="H46" s="16">
        <v>225</v>
      </c>
      <c r="I46" s="16">
        <v>325</v>
      </c>
      <c r="J46" s="16">
        <v>0.562183678150177</v>
      </c>
      <c r="K46" s="16">
        <v>0.31605049967765808</v>
      </c>
      <c r="L46" s="16">
        <v>1.622884489570093E-3</v>
      </c>
      <c r="M46" s="16">
        <v>3.2457690685987468E-3</v>
      </c>
      <c r="N46" s="16">
        <v>3.3597050115918853E-4</v>
      </c>
      <c r="O46" s="16">
        <v>1178.05699310923</v>
      </c>
      <c r="P46" s="16">
        <v>125</v>
      </c>
      <c r="Q46" s="16">
        <v>120000</v>
      </c>
      <c r="R46" t="b">
        <v>0</v>
      </c>
      <c r="S46">
        <f t="shared" si="0"/>
        <v>8.4605192697204141E-3</v>
      </c>
    </row>
    <row r="47" spans="1:19" x14ac:dyDescent="0.25">
      <c r="A47" s="16">
        <v>46</v>
      </c>
      <c r="B47" s="16">
        <v>4.0422016787925781</v>
      </c>
      <c r="C47" s="16">
        <v>256.260009765625</v>
      </c>
      <c r="D47" s="16">
        <v>4.0422472953796387</v>
      </c>
      <c r="E47" s="16">
        <v>2.9631564757437449E-8</v>
      </c>
      <c r="F47" s="16">
        <v>1.269411388784647E-2</v>
      </c>
      <c r="G47" s="16" t="b">
        <v>1</v>
      </c>
      <c r="H47" s="16">
        <v>225</v>
      </c>
      <c r="I47" s="16">
        <v>325</v>
      </c>
      <c r="J47" s="16">
        <v>0.56417959928512573</v>
      </c>
      <c r="K47" s="16">
        <v>0.31829860806465149</v>
      </c>
      <c r="L47" s="16">
        <v>9.1522016369017232E-4</v>
      </c>
      <c r="M47" s="16">
        <v>1.830440363846719E-3</v>
      </c>
      <c r="N47" s="16">
        <v>4.5616587060592913E-5</v>
      </c>
      <c r="O47" s="16">
        <v>775.7204349440949</v>
      </c>
      <c r="P47" s="16">
        <v>125</v>
      </c>
      <c r="Q47" s="16">
        <v>380000</v>
      </c>
      <c r="R47" t="b">
        <v>0</v>
      </c>
      <c r="S47">
        <f t="shared" si="0"/>
        <v>1.1285084388520359E-3</v>
      </c>
    </row>
    <row r="48" spans="1:19" x14ac:dyDescent="0.25">
      <c r="A48" s="4">
        <v>47</v>
      </c>
      <c r="B48" s="5">
        <v>4.097070649025869</v>
      </c>
      <c r="C48" s="5">
        <v>253.69000244140619</v>
      </c>
      <c r="D48" s="5">
        <v>4.0969843864440918</v>
      </c>
      <c r="E48" s="5">
        <v>7.7230856732057873E-7</v>
      </c>
      <c r="F48" s="16">
        <v>1.2964128516614441E-2</v>
      </c>
      <c r="G48" s="5" t="b">
        <v>1</v>
      </c>
      <c r="H48" s="5">
        <v>150</v>
      </c>
      <c r="I48" s="5">
        <v>350</v>
      </c>
      <c r="J48" s="5">
        <v>0.56472033262252808</v>
      </c>
      <c r="K48" s="5">
        <v>0.31890907883644098</v>
      </c>
      <c r="L48" s="5">
        <v>1.1075076906787999E-3</v>
      </c>
      <c r="M48" s="5">
        <v>2.2150154691189532E-3</v>
      </c>
      <c r="N48" s="5">
        <v>8.626258177724111E-5</v>
      </c>
      <c r="O48" s="5">
        <v>603.26123548689441</v>
      </c>
      <c r="P48" s="5">
        <v>125</v>
      </c>
      <c r="Q48" s="6">
        <v>260000</v>
      </c>
      <c r="R48" t="b">
        <v>0</v>
      </c>
      <c r="S48">
        <f t="shared" si="0"/>
        <v>2.1054697164607388E-3</v>
      </c>
    </row>
    <row r="49" spans="1:19" x14ac:dyDescent="0.25">
      <c r="A49" s="16">
        <v>48</v>
      </c>
      <c r="B49" s="16">
        <v>4.1351213578181021</v>
      </c>
      <c r="C49" s="16">
        <v>251.92999267578119</v>
      </c>
      <c r="D49" s="16">
        <v>4.1349287033081046</v>
      </c>
      <c r="E49" s="16">
        <v>1.2028067430946979E-8</v>
      </c>
      <c r="F49" s="16">
        <v>1.2765428982675081E-2</v>
      </c>
      <c r="G49" s="16" t="b">
        <v>1</v>
      </c>
      <c r="H49" s="16">
        <v>225</v>
      </c>
      <c r="I49" s="16">
        <v>325</v>
      </c>
      <c r="J49" s="16">
        <v>0.56715399026870728</v>
      </c>
      <c r="K49" s="16">
        <v>0.32166361808776861</v>
      </c>
      <c r="L49" s="16">
        <v>6.1881573597680933E-4</v>
      </c>
      <c r="M49" s="16">
        <v>1.2376314261928201E-3</v>
      </c>
      <c r="N49" s="16">
        <v>1.9265450999661479E-4</v>
      </c>
      <c r="O49" s="16">
        <v>767.07739599402532</v>
      </c>
      <c r="P49" s="16">
        <v>125</v>
      </c>
      <c r="Q49" s="16">
        <v>840000</v>
      </c>
      <c r="R49" t="b">
        <v>0</v>
      </c>
      <c r="S49">
        <f t="shared" si="0"/>
        <v>4.658980797077961E-3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16">
        <v>1.2908639386296271E-2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16">
        <v>1.2894016690552229E-2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16">
        <v>1.2894292362034321E-2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16">
        <v>1.293347496539354E-2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16">
        <v>53</v>
      </c>
      <c r="B54" s="16">
        <v>4.067011505252216</v>
      </c>
      <c r="C54" s="16">
        <v>255.1499938964844</v>
      </c>
      <c r="D54" s="16">
        <v>4.0673055648803711</v>
      </c>
      <c r="E54" s="16">
        <v>5.707101990992669E-8</v>
      </c>
      <c r="F54" s="16">
        <v>1.287352479994297E-2</v>
      </c>
      <c r="G54" s="16" t="b">
        <v>1</v>
      </c>
      <c r="H54" s="16">
        <v>225</v>
      </c>
      <c r="I54" s="16">
        <v>325</v>
      </c>
      <c r="J54" s="16">
        <v>0.56510931253433228</v>
      </c>
      <c r="K54" s="16">
        <v>0.31934854388237</v>
      </c>
      <c r="L54" s="16">
        <v>1.4127732813358309E-3</v>
      </c>
      <c r="M54" s="16">
        <v>2.8255465440452099E-3</v>
      </c>
      <c r="N54" s="16">
        <v>2.9405962815509668E-4</v>
      </c>
      <c r="O54" s="16">
        <v>754.24955919029344</v>
      </c>
      <c r="P54" s="16">
        <v>125</v>
      </c>
      <c r="Q54" s="16">
        <v>160000</v>
      </c>
      <c r="R54" t="b">
        <v>0</v>
      </c>
      <c r="S54">
        <f t="shared" si="0"/>
        <v>7.2303613544083285E-3</v>
      </c>
    </row>
    <row r="55" spans="1:19" x14ac:dyDescent="0.25">
      <c r="A55" s="16">
        <v>54</v>
      </c>
      <c r="B55" s="16">
        <v>4.0029182471614666</v>
      </c>
      <c r="C55" s="16">
        <v>258.1300048828125</v>
      </c>
      <c r="D55" s="16">
        <v>4.0032143592834473</v>
      </c>
      <c r="E55" s="16">
        <v>4.9100453907158226E-6</v>
      </c>
      <c r="F55" s="16">
        <v>1.2668830342590811E-2</v>
      </c>
      <c r="G55" s="16" t="b">
        <v>1</v>
      </c>
      <c r="H55" s="16">
        <v>225</v>
      </c>
      <c r="I55" s="16">
        <v>325</v>
      </c>
      <c r="J55" s="16">
        <v>0.56322997808456421</v>
      </c>
      <c r="K55" s="16">
        <v>0.31722798943519592</v>
      </c>
      <c r="L55" s="16">
        <v>1.1496883784551119E-3</v>
      </c>
      <c r="M55" s="16">
        <v>2.2993767634034161E-3</v>
      </c>
      <c r="N55" s="16">
        <v>2.9611212197977471E-4</v>
      </c>
      <c r="O55" s="16">
        <v>1557.63955856447</v>
      </c>
      <c r="P55" s="16">
        <v>125</v>
      </c>
      <c r="Q55" s="16">
        <v>240000</v>
      </c>
      <c r="R55" t="b">
        <v>0</v>
      </c>
      <c r="S55">
        <f t="shared" si="0"/>
        <v>7.3974061845942657E-3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16">
        <v>1.2556559406220909E-2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16">
        <v>56</v>
      </c>
      <c r="B57" s="16">
        <v>3.8288224192227061</v>
      </c>
      <c r="C57" s="16">
        <v>267.42999267578119</v>
      </c>
      <c r="D57" s="16">
        <v>3.8285548686981201</v>
      </c>
      <c r="E57" s="16">
        <v>5.8054883993463591E-6</v>
      </c>
      <c r="F57" s="16">
        <v>1.239069830626249E-2</v>
      </c>
      <c r="G57" s="16" t="b">
        <v>1</v>
      </c>
      <c r="H57" s="16">
        <v>225</v>
      </c>
      <c r="I57" s="16">
        <v>325</v>
      </c>
      <c r="J57" s="16">
        <v>0.56091105937957764</v>
      </c>
      <c r="K57" s="16">
        <v>0.31462123990058899</v>
      </c>
      <c r="L57" s="16">
        <v>9.0991789180516617E-4</v>
      </c>
      <c r="M57" s="16">
        <v>1.8198357429355381E-3</v>
      </c>
      <c r="N57" s="16">
        <v>2.6755052458593548E-4</v>
      </c>
      <c r="O57" s="16">
        <v>1221.2644254701249</v>
      </c>
      <c r="P57" s="16">
        <v>125</v>
      </c>
      <c r="Q57" s="16">
        <v>380000</v>
      </c>
      <c r="R57" t="b">
        <v>0</v>
      </c>
      <c r="S57">
        <f t="shared" si="0"/>
        <v>6.9878018693865481E-3</v>
      </c>
    </row>
    <row r="58" spans="1:19" x14ac:dyDescent="0.25">
      <c r="A58" s="16">
        <v>57</v>
      </c>
      <c r="B58" s="16">
        <v>3.72079126374026</v>
      </c>
      <c r="C58" s="16">
        <v>273.79000854492188</v>
      </c>
      <c r="D58" s="16">
        <v>3.7209737300872798</v>
      </c>
      <c r="E58" s="16">
        <v>3.7849531508982182E-6</v>
      </c>
      <c r="F58" s="16">
        <v>1.208715792745352E-2</v>
      </c>
      <c r="G58" s="16" t="b">
        <v>1</v>
      </c>
      <c r="H58" s="16">
        <v>225</v>
      </c>
      <c r="I58" s="16">
        <v>325</v>
      </c>
      <c r="J58" s="16">
        <v>0.55734008550643921</v>
      </c>
      <c r="K58" s="16">
        <v>0.31062796711921692</v>
      </c>
      <c r="L58" s="16">
        <v>1.4895540342002779E-3</v>
      </c>
      <c r="M58" s="16">
        <v>2.9791081324219699E-3</v>
      </c>
      <c r="N58" s="16">
        <v>1.82466347019794E-4</v>
      </c>
      <c r="O58" s="16">
        <v>1711.163924357872</v>
      </c>
      <c r="P58" s="16">
        <v>125</v>
      </c>
      <c r="Q58" s="16">
        <v>140000</v>
      </c>
      <c r="R58" t="b">
        <v>0</v>
      </c>
      <c r="S58">
        <f t="shared" si="0"/>
        <v>4.9039662288492079E-3</v>
      </c>
    </row>
    <row r="59" spans="1:19" x14ac:dyDescent="0.25">
      <c r="A59" s="16">
        <v>58</v>
      </c>
      <c r="B59" s="16">
        <v>3.6003968225698841</v>
      </c>
      <c r="C59" s="16">
        <v>281.27999877929688</v>
      </c>
      <c r="D59" s="16">
        <v>3.600258588790894</v>
      </c>
      <c r="E59" s="16">
        <v>2.7694341042661111E-8</v>
      </c>
      <c r="F59" s="16">
        <v>1.1716962791979309E-2</v>
      </c>
      <c r="G59" s="16" t="b">
        <v>1</v>
      </c>
      <c r="H59" s="16">
        <v>225</v>
      </c>
      <c r="I59" s="16">
        <v>325</v>
      </c>
      <c r="J59" s="16">
        <v>0.5590175986289978</v>
      </c>
      <c r="K59" s="16">
        <v>0.31250065565109247</v>
      </c>
      <c r="L59" s="16">
        <v>1.397543996572494E-3</v>
      </c>
      <c r="M59" s="16">
        <v>2.795088104903698E-3</v>
      </c>
      <c r="N59" s="16">
        <v>1.382337789905819E-4</v>
      </c>
      <c r="O59" s="16">
        <v>910.49991884906899</v>
      </c>
      <c r="P59" s="16">
        <v>125</v>
      </c>
      <c r="Q59" s="16">
        <v>160000</v>
      </c>
      <c r="R59" t="b">
        <v>0</v>
      </c>
      <c r="S59">
        <f t="shared" si="0"/>
        <v>3.8394039824730672E-3</v>
      </c>
    </row>
    <row r="60" spans="1:19" x14ac:dyDescent="0.25">
      <c r="A60" s="16">
        <v>59</v>
      </c>
      <c r="B60" s="16">
        <v>3.469081214710001</v>
      </c>
      <c r="C60" s="16">
        <v>290.45999145507813</v>
      </c>
      <c r="D60" s="16">
        <v>3.4687013626098628</v>
      </c>
      <c r="E60" s="16">
        <v>1.092117418011185E-5</v>
      </c>
      <c r="F60" s="16">
        <v>1.1121031828224661E-2</v>
      </c>
      <c r="G60" s="16" t="b">
        <v>1</v>
      </c>
      <c r="H60" s="16">
        <v>225</v>
      </c>
      <c r="I60" s="16">
        <v>325</v>
      </c>
      <c r="J60" s="16">
        <v>0.55985420942306519</v>
      </c>
      <c r="K60" s="16">
        <v>0.31343674659728998</v>
      </c>
      <c r="L60" s="16">
        <v>8.0807994629337955E-4</v>
      </c>
      <c r="M60" s="16">
        <v>1.616159919649363E-3</v>
      </c>
      <c r="N60" s="16">
        <v>3.7985210013724569E-4</v>
      </c>
      <c r="O60" s="16">
        <v>505.34718397150777</v>
      </c>
      <c r="P60" s="16">
        <v>125</v>
      </c>
      <c r="Q60" s="16">
        <v>480000</v>
      </c>
      <c r="R60" t="b">
        <v>0</v>
      </c>
      <c r="S60">
        <f t="shared" si="0"/>
        <v>1.0949645644689802E-2</v>
      </c>
    </row>
    <row r="61" spans="1:19" x14ac:dyDescent="0.25">
      <c r="A61" s="16">
        <v>60</v>
      </c>
      <c r="B61" s="16">
        <v>3.328446766773975</v>
      </c>
      <c r="C61" s="16">
        <v>301.30999755859381</v>
      </c>
      <c r="D61" s="16">
        <v>3.3282477855682369</v>
      </c>
      <c r="E61" s="16">
        <v>5.4147676564753062E-8</v>
      </c>
      <c r="F61" s="16">
        <v>9.9135348573327065E-3</v>
      </c>
      <c r="G61" s="16" t="b">
        <v>1</v>
      </c>
      <c r="H61" s="16">
        <v>275</v>
      </c>
      <c r="I61" s="16">
        <v>375</v>
      </c>
      <c r="J61" s="16">
        <v>0.56052446365356445</v>
      </c>
      <c r="K61" s="16">
        <v>0.3141876757144928</v>
      </c>
      <c r="L61" s="16">
        <v>1.498064642783472E-3</v>
      </c>
      <c r="M61" s="16">
        <v>2.9961292166262869E-3</v>
      </c>
      <c r="N61" s="16">
        <v>1.989812057376916E-4</v>
      </c>
      <c r="O61" s="16">
        <v>1271.899911412806</v>
      </c>
      <c r="P61" s="16">
        <v>125</v>
      </c>
      <c r="Q61" s="16">
        <v>140000</v>
      </c>
      <c r="R61" t="b">
        <v>0</v>
      </c>
      <c r="S61">
        <f t="shared" si="0"/>
        <v>5.9782000338419062E-3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 s="4">
        <v>70</v>
      </c>
      <c r="B71" s="5">
        <v>1.8112030457153261</v>
      </c>
      <c r="C71" s="5">
        <v>540.70001220703125</v>
      </c>
      <c r="D71" s="5">
        <v>1.810828328132629</v>
      </c>
      <c r="E71" s="5">
        <v>1.9454660105111539E-9</v>
      </c>
      <c r="F71" s="5">
        <v>3.306543687358499E-3</v>
      </c>
      <c r="G71" s="5" t="b">
        <v>1</v>
      </c>
      <c r="H71" s="5">
        <v>450</v>
      </c>
      <c r="I71" s="5">
        <v>650</v>
      </c>
      <c r="J71" s="5">
        <v>0.53949302434921265</v>
      </c>
      <c r="K71" s="5">
        <v>0.29105272889137268</v>
      </c>
      <c r="L71" s="5">
        <v>7.4814221617162642E-4</v>
      </c>
      <c r="M71" s="5">
        <v>1.496284501627088E-3</v>
      </c>
      <c r="N71" s="5">
        <v>3.7471758269691508E-4</v>
      </c>
      <c r="O71" s="5">
        <v>11433.033676115991</v>
      </c>
      <c r="P71" s="5">
        <v>100</v>
      </c>
      <c r="Q71" s="6">
        <v>520000</v>
      </c>
      <c r="R71" t="b">
        <v>1</v>
      </c>
      <c r="S71">
        <f t="shared" si="2"/>
        <v>2.0688877681790899E-2</v>
      </c>
    </row>
    <row r="72" spans="1:19" x14ac:dyDescent="0.25">
      <c r="A72" s="4">
        <v>71</v>
      </c>
      <c r="B72" s="5">
        <v>1.685670945847273</v>
      </c>
      <c r="C72" s="5">
        <v>580.20001220703125</v>
      </c>
      <c r="D72" s="5">
        <v>1.686196565628052</v>
      </c>
      <c r="E72" s="5">
        <v>1.790922965483333E-7</v>
      </c>
      <c r="F72" s="5">
        <v>2.928940579295158E-3</v>
      </c>
      <c r="G72" s="5" t="b">
        <v>1</v>
      </c>
      <c r="H72" s="5">
        <v>450</v>
      </c>
      <c r="I72" s="5">
        <v>650</v>
      </c>
      <c r="J72" s="5">
        <v>0.53905421495437622</v>
      </c>
      <c r="K72" s="5">
        <v>0.29057943820953369</v>
      </c>
      <c r="L72" s="5">
        <v>8.9842369159062708E-4</v>
      </c>
      <c r="M72" s="5">
        <v>1.7968473257496951E-3</v>
      </c>
      <c r="N72" s="5">
        <v>5.2561978077836358E-4</v>
      </c>
      <c r="O72" s="5">
        <v>227.67163003585921</v>
      </c>
      <c r="P72" s="5">
        <v>100</v>
      </c>
      <c r="Q72" s="6">
        <v>360000</v>
      </c>
      <c r="R72" t="b">
        <v>1</v>
      </c>
      <c r="S72">
        <f>(N72/B72)*100</f>
        <v>3.1181636135643898E-2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ref="E73:E90" si="3">(B73-D73)^2</f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 s="4">
        <v>73</v>
      </c>
      <c r="B74" s="5">
        <v>1.464894518558977</v>
      </c>
      <c r="C74" s="5">
        <v>667.0999755859375</v>
      </c>
      <c r="D74" s="5">
        <v>1.464526891708374</v>
      </c>
      <c r="E74" s="5">
        <v>3.0004832751728832E-7</v>
      </c>
      <c r="F74" s="5">
        <v>2.1619985345751051E-3</v>
      </c>
      <c r="G74" s="5" t="b">
        <v>1</v>
      </c>
      <c r="H74" s="5">
        <v>550</v>
      </c>
      <c r="I74" s="5">
        <v>750</v>
      </c>
      <c r="J74" s="5">
        <v>0.54070091247558594</v>
      </c>
      <c r="K74" s="5">
        <v>0.29235747456550598</v>
      </c>
      <c r="L74" s="5">
        <v>6.5569616882490901E-4</v>
      </c>
      <c r="M74" s="5">
        <v>1.311392290517688E-3</v>
      </c>
      <c r="N74" s="5">
        <v>3.6762685060298672E-4</v>
      </c>
      <c r="O74" s="5">
        <v>40113.493043784641</v>
      </c>
      <c r="P74" s="5">
        <v>100</v>
      </c>
      <c r="Q74" s="6">
        <v>680000</v>
      </c>
      <c r="R74" t="b">
        <v>1</v>
      </c>
      <c r="S74">
        <f t="shared" si="2"/>
        <v>2.5095789897870795E-2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 s="4">
        <v>75</v>
      </c>
      <c r="B76" s="5">
        <v>1.2885595404939401</v>
      </c>
      <c r="C76" s="5">
        <v>758.29998779296875</v>
      </c>
      <c r="D76" s="5">
        <v>1.287978053092957</v>
      </c>
      <c r="E76" s="5">
        <v>9.0268628127887496E-7</v>
      </c>
      <c r="F76" s="5">
        <v>1.749545917846262E-3</v>
      </c>
      <c r="G76" s="5" t="b">
        <v>1</v>
      </c>
      <c r="H76" s="5">
        <v>650</v>
      </c>
      <c r="I76" s="5">
        <v>850</v>
      </c>
      <c r="J76" s="5">
        <v>0.54204308986663818</v>
      </c>
      <c r="K76" s="5">
        <v>0.29381069540977478</v>
      </c>
      <c r="L76" s="5">
        <v>9.2959622998402226E-4</v>
      </c>
      <c r="M76" s="5">
        <v>1.859192387200892E-3</v>
      </c>
      <c r="N76" s="5">
        <v>5.8148740098329377E-4</v>
      </c>
      <c r="O76" s="5">
        <v>61256.274678696478</v>
      </c>
      <c r="P76" s="5">
        <v>100</v>
      </c>
      <c r="Q76" s="6">
        <v>340000</v>
      </c>
      <c r="R76" t="b">
        <v>1</v>
      </c>
      <c r="S76">
        <f t="shared" si="2"/>
        <v>4.5126933037210971E-2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 s="4">
        <v>77</v>
      </c>
      <c r="B78" s="5">
        <v>1.159783590634661</v>
      </c>
      <c r="C78" s="5">
        <v>842.70001220703125</v>
      </c>
      <c r="D78" s="5">
        <v>1.1590327024459841</v>
      </c>
      <c r="E78" s="5">
        <v>4.723009396911948E-7</v>
      </c>
      <c r="F78" s="5">
        <v>1.4161261497065421E-3</v>
      </c>
      <c r="G78" s="5" t="b">
        <v>1</v>
      </c>
      <c r="H78" s="5">
        <v>750</v>
      </c>
      <c r="I78" s="5">
        <v>950</v>
      </c>
      <c r="J78" s="5">
        <v>0.543232262134552</v>
      </c>
      <c r="K78" s="5">
        <v>0.29510128498077393</v>
      </c>
      <c r="L78" s="5">
        <v>9.9180187978551207E-4</v>
      </c>
      <c r="M78" s="5">
        <v>1.983603928238153E-3</v>
      </c>
      <c r="N78" s="5">
        <v>7.5088818867707907E-4</v>
      </c>
      <c r="O78" s="5">
        <v>62331.2918851137</v>
      </c>
      <c r="P78" s="5">
        <v>100</v>
      </c>
      <c r="Q78" s="6">
        <v>300000</v>
      </c>
      <c r="R78" t="b">
        <v>1</v>
      </c>
      <c r="S78">
        <f t="shared" si="2"/>
        <v>6.4743818996971264E-2</v>
      </c>
    </row>
    <row r="79" spans="1:19" x14ac:dyDescent="0.25">
      <c r="A79" s="4">
        <v>78</v>
      </c>
      <c r="B79" s="5">
        <v>1.113833533176569</v>
      </c>
      <c r="C79" s="5">
        <v>877.9000244140625</v>
      </c>
      <c r="D79" s="5">
        <v>1.114607572555542</v>
      </c>
      <c r="E79" s="5">
        <v>1.0738363016571381E-5</v>
      </c>
      <c r="F79" s="5">
        <v>1.2568847741931679E-3</v>
      </c>
      <c r="G79" s="5" t="b">
        <v>1</v>
      </c>
      <c r="H79" s="5">
        <v>750</v>
      </c>
      <c r="I79" s="5">
        <v>950</v>
      </c>
      <c r="J79" s="5">
        <v>0.54423987865447998</v>
      </c>
      <c r="K79" s="5">
        <v>0.29619705677032471</v>
      </c>
      <c r="L79" s="5">
        <v>1.1603233199842561E-3</v>
      </c>
      <c r="M79" s="5">
        <v>2.3206467740237709E-3</v>
      </c>
      <c r="N79" s="5">
        <v>7.7403937897257968E-4</v>
      </c>
      <c r="O79" s="5">
        <v>118688.9646890117</v>
      </c>
      <c r="P79" s="5">
        <v>100</v>
      </c>
      <c r="Q79" s="6">
        <v>220000</v>
      </c>
      <c r="R79" t="b">
        <v>1</v>
      </c>
      <c r="S79">
        <f t="shared" si="2"/>
        <v>6.9493273089478461E-2</v>
      </c>
    </row>
    <row r="80" spans="1:19" x14ac:dyDescent="0.25">
      <c r="A80" s="4">
        <v>79</v>
      </c>
      <c r="B80" s="5">
        <v>1.0804088945786661</v>
      </c>
      <c r="C80" s="5">
        <v>907</v>
      </c>
      <c r="D80" s="5">
        <v>1.0803041458129881</v>
      </c>
      <c r="E80" s="5">
        <v>8.1581902122707106E-8</v>
      </c>
      <c r="F80" s="5">
        <v>1.2549993116408591E-3</v>
      </c>
      <c r="G80" s="5" t="b">
        <v>1</v>
      </c>
      <c r="H80" s="5">
        <v>850</v>
      </c>
      <c r="I80" s="5">
        <v>1000</v>
      </c>
      <c r="J80" s="5">
        <v>0.54448181390762329</v>
      </c>
      <c r="K80" s="5">
        <v>0.29646044969558721</v>
      </c>
      <c r="L80" s="5">
        <v>9.6251695711708064E-4</v>
      </c>
      <c r="M80" s="5">
        <v>1.925033866427839E-3</v>
      </c>
      <c r="N80" s="5">
        <v>1.0474876567778681E-4</v>
      </c>
      <c r="O80" s="5">
        <v>79363.90668303534</v>
      </c>
      <c r="P80" s="5">
        <v>100</v>
      </c>
      <c r="Q80" s="6">
        <v>320000</v>
      </c>
      <c r="R80" t="b">
        <v>1</v>
      </c>
      <c r="S80">
        <f t="shared" si="2"/>
        <v>9.695289089473513E-3</v>
      </c>
    </row>
    <row r="81" spans="1:19" x14ac:dyDescent="0.25">
      <c r="A81" s="4">
        <v>80</v>
      </c>
      <c r="B81" s="5">
        <v>1.059669741704262</v>
      </c>
      <c r="C81" s="5">
        <v>924.20001220703125</v>
      </c>
      <c r="D81" s="5">
        <v>1.0601015090942381</v>
      </c>
      <c r="E81" s="5">
        <v>1.864305545495881E-7</v>
      </c>
      <c r="F81" s="5">
        <v>1.152220065705478E-3</v>
      </c>
      <c r="G81" s="5" t="b">
        <v>1</v>
      </c>
      <c r="H81" s="5">
        <v>850</v>
      </c>
      <c r="I81" s="5">
        <v>1000</v>
      </c>
      <c r="J81" s="5">
        <v>0.54567134380340576</v>
      </c>
      <c r="K81" s="5">
        <v>0.29775723814964289</v>
      </c>
      <c r="L81" s="5">
        <v>9.6461976875641042E-4</v>
      </c>
      <c r="M81" s="5">
        <v>1.9292394863441591E-3</v>
      </c>
      <c r="N81" s="5">
        <v>4.3176738997630082E-4</v>
      </c>
      <c r="O81" s="5">
        <v>94154.080137295168</v>
      </c>
      <c r="P81" s="5">
        <v>100</v>
      </c>
      <c r="Q81" s="6">
        <v>320000</v>
      </c>
      <c r="R81" t="b">
        <v>1</v>
      </c>
      <c r="S81">
        <f t="shared" si="2"/>
        <v>4.0745467477621027E-2</v>
      </c>
    </row>
    <row r="82" spans="1:19" x14ac:dyDescent="0.25">
      <c r="A82" s="4">
        <v>81</v>
      </c>
      <c r="B82" s="5">
        <v>1.051786933968325</v>
      </c>
      <c r="C82" s="5">
        <v>931.4000244140625</v>
      </c>
      <c r="D82" s="5">
        <v>1.052038192749023</v>
      </c>
      <c r="E82" s="5">
        <v>7.7919403338455595E-6</v>
      </c>
      <c r="F82" s="5">
        <v>1.122568035498261E-3</v>
      </c>
      <c r="G82" s="5" t="b">
        <v>1</v>
      </c>
      <c r="H82" s="5">
        <v>850</v>
      </c>
      <c r="I82" s="5">
        <v>1000</v>
      </c>
      <c r="J82" s="5">
        <v>0.54423952102661133</v>
      </c>
      <c r="K82" s="5">
        <v>0.29619666934013372</v>
      </c>
      <c r="L82" s="5">
        <v>8.204719487854581E-4</v>
      </c>
      <c r="M82" s="5">
        <v>1.640943926759064E-3</v>
      </c>
      <c r="N82" s="5">
        <v>2.5125878069820468E-4</v>
      </c>
      <c r="O82" s="5">
        <v>74395.374252285023</v>
      </c>
      <c r="P82" s="5">
        <v>100</v>
      </c>
      <c r="Q82" s="6">
        <v>440000</v>
      </c>
      <c r="R82" t="b">
        <v>1</v>
      </c>
      <c r="S82">
        <f t="shared" si="2"/>
        <v>2.3888752805686728E-2</v>
      </c>
    </row>
    <row r="83" spans="1:19" x14ac:dyDescent="0.25">
      <c r="A83" s="4">
        <v>82</v>
      </c>
      <c r="B83" s="5">
        <v>1.056956812851094</v>
      </c>
      <c r="C83" s="5">
        <v>926.29998779296875</v>
      </c>
      <c r="D83" s="5">
        <v>1.056923031806946</v>
      </c>
      <c r="E83" s="5">
        <v>3.1936065170157239E-6</v>
      </c>
      <c r="F83" s="5">
        <v>1.1722173076122999E-3</v>
      </c>
      <c r="G83" s="5" t="b">
        <v>1</v>
      </c>
      <c r="H83" s="5">
        <v>850</v>
      </c>
      <c r="I83" s="5">
        <v>1000</v>
      </c>
      <c r="J83" s="5">
        <v>0.5441935658454895</v>
      </c>
      <c r="K83" s="5">
        <v>0.29614666104316711</v>
      </c>
      <c r="L83" s="5">
        <v>2.2216609293785479E-3</v>
      </c>
      <c r="M83" s="5">
        <v>4.443321842700243E-3</v>
      </c>
      <c r="N83" s="5">
        <v>3.3781044148417649E-5</v>
      </c>
      <c r="O83" s="5">
        <v>17056.70060169026</v>
      </c>
      <c r="P83" s="5">
        <v>100</v>
      </c>
      <c r="Q83" s="6">
        <v>60000</v>
      </c>
      <c r="R83" t="b">
        <v>1</v>
      </c>
      <c r="S83">
        <f t="shared" si="2"/>
        <v>3.19606664507841E-3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 s="4">
        <v>84</v>
      </c>
      <c r="B85" s="5">
        <v>1.107425917291978</v>
      </c>
      <c r="C85" s="5">
        <v>883.79998779296875</v>
      </c>
      <c r="D85" s="5">
        <v>1.107108592987061</v>
      </c>
      <c r="E85" s="5">
        <v>9.9818325907108374E-6</v>
      </c>
      <c r="F85" s="5">
        <v>1.278836745768785E-3</v>
      </c>
      <c r="G85" s="5" t="b">
        <v>1</v>
      </c>
      <c r="H85" s="5">
        <v>750</v>
      </c>
      <c r="I85" s="5">
        <v>950</v>
      </c>
      <c r="J85" s="5">
        <v>0.54434406757354736</v>
      </c>
      <c r="K85" s="5">
        <v>0.29631048440933228</v>
      </c>
      <c r="L85" s="5">
        <v>9.9383174951382766E-4</v>
      </c>
      <c r="M85" s="5">
        <v>1.9876635633409019E-3</v>
      </c>
      <c r="N85" s="5">
        <v>3.1732430491704378E-4</v>
      </c>
      <c r="O85" s="5">
        <v>152865.61057322571</v>
      </c>
      <c r="P85" s="5">
        <v>100</v>
      </c>
      <c r="Q85" s="6">
        <v>300000</v>
      </c>
      <c r="R85" t="b">
        <v>1</v>
      </c>
      <c r="S85">
        <f t="shared" si="2"/>
        <v>2.8654224175374769E-2</v>
      </c>
    </row>
    <row r="86" spans="1:19" x14ac:dyDescent="0.25">
      <c r="A86" s="4">
        <v>85</v>
      </c>
      <c r="B86" s="5">
        <v>1.153316940821536</v>
      </c>
      <c r="C86" s="5">
        <v>848.5999755859375</v>
      </c>
      <c r="D86" s="5">
        <v>1.15399181842804</v>
      </c>
      <c r="E86" s="5">
        <v>6.370066330418922E-6</v>
      </c>
      <c r="F86" s="5">
        <v>1.344336313195527E-3</v>
      </c>
      <c r="G86" s="5" t="b">
        <v>1</v>
      </c>
      <c r="H86" s="5">
        <v>750</v>
      </c>
      <c r="I86" s="5">
        <v>950</v>
      </c>
      <c r="J86" s="5">
        <v>0.54306060075759888</v>
      </c>
      <c r="K86" s="5">
        <v>0.29491481184959412</v>
      </c>
      <c r="L86" s="5">
        <v>1.065029461664007E-3</v>
      </c>
      <c r="M86" s="5">
        <v>2.1300588268786669E-3</v>
      </c>
      <c r="N86" s="5">
        <v>6.7487760650331019E-4</v>
      </c>
      <c r="O86" s="5">
        <v>103749.3566108013</v>
      </c>
      <c r="P86" s="5">
        <v>100</v>
      </c>
      <c r="Q86" s="6">
        <v>260000</v>
      </c>
      <c r="R86" t="b">
        <v>1</v>
      </c>
      <c r="S86">
        <f t="shared" si="2"/>
        <v>5.8516231108387107E-2</v>
      </c>
    </row>
    <row r="87" spans="1:19" x14ac:dyDescent="0.25">
      <c r="A87" s="4">
        <v>86</v>
      </c>
      <c r="B87" s="5">
        <v>1.2134415787506809</v>
      </c>
      <c r="C87" s="5">
        <v>805.79998779296875</v>
      </c>
      <c r="D87" s="5">
        <v>1.2130575180053711</v>
      </c>
      <c r="E87" s="5">
        <v>8.8881806732388213E-6</v>
      </c>
      <c r="F87" s="5">
        <v>1.5202244976535439E-3</v>
      </c>
      <c r="G87" s="5" t="b">
        <v>1</v>
      </c>
      <c r="H87" s="5">
        <v>750</v>
      </c>
      <c r="I87" s="5">
        <v>950</v>
      </c>
      <c r="J87" s="5">
        <v>0.54280632734298706</v>
      </c>
      <c r="K87" s="5">
        <v>0.29463869333267212</v>
      </c>
      <c r="L87" s="5">
        <v>1.0258075373013309E-3</v>
      </c>
      <c r="M87" s="5">
        <v>2.0516151562333111E-3</v>
      </c>
      <c r="N87" s="5">
        <v>3.8406074530961121E-4</v>
      </c>
      <c r="O87" s="5">
        <v>81130.811259404625</v>
      </c>
      <c r="P87" s="5">
        <v>100</v>
      </c>
      <c r="Q87" s="6">
        <v>280000</v>
      </c>
      <c r="R87" t="b">
        <v>1</v>
      </c>
      <c r="S87">
        <f t="shared" si="2"/>
        <v>3.1650534482675907E-2</v>
      </c>
    </row>
    <row r="88" spans="1:19" x14ac:dyDescent="0.25">
      <c r="A88" s="4">
        <v>87</v>
      </c>
      <c r="B88" s="5">
        <v>1.288186717062378</v>
      </c>
      <c r="C88" s="5">
        <v>757.70001220703125</v>
      </c>
      <c r="D88" s="5">
        <v>1.288069009780884</v>
      </c>
      <c r="E88" s="5">
        <v>3.0374906145880232E-8</v>
      </c>
      <c r="F88" s="5">
        <v>1.669995253905654E-3</v>
      </c>
      <c r="G88" s="5" t="b">
        <v>1</v>
      </c>
      <c r="H88" s="5">
        <v>650</v>
      </c>
      <c r="I88" s="5">
        <v>850</v>
      </c>
      <c r="J88" s="5">
        <v>0.54237622022628784</v>
      </c>
      <c r="K88" s="5">
        <v>0.29417195916175842</v>
      </c>
      <c r="L88" s="5">
        <v>7.5214048946854988E-4</v>
      </c>
      <c r="M88" s="5">
        <v>1.50428107008338E-3</v>
      </c>
      <c r="N88" s="5">
        <v>1.177072814944058E-4</v>
      </c>
      <c r="O88" s="5">
        <v>44820.793322168021</v>
      </c>
      <c r="P88" s="5">
        <v>100</v>
      </c>
      <c r="Q88" s="6">
        <v>520000</v>
      </c>
      <c r="R88" t="b">
        <v>1</v>
      </c>
      <c r="S88">
        <f t="shared" si="2"/>
        <v>9.1374394670695903E-3</v>
      </c>
    </row>
    <row r="89" spans="1:19" x14ac:dyDescent="0.25">
      <c r="A89" s="4">
        <v>88</v>
      </c>
      <c r="B89" s="5">
        <v>1.3779544541977089</v>
      </c>
      <c r="C89" s="5">
        <v>708.5999755859375</v>
      </c>
      <c r="D89" s="5">
        <v>1.3774845600128169</v>
      </c>
      <c r="E89" s="5">
        <v>2.7964256332779769E-7</v>
      </c>
      <c r="F89" s="5">
        <v>1.9382953178137541E-3</v>
      </c>
      <c r="G89" s="5" t="b">
        <v>1</v>
      </c>
      <c r="H89" s="5">
        <v>650</v>
      </c>
      <c r="I89" s="5">
        <v>850</v>
      </c>
      <c r="J89" s="5">
        <v>0.54114800691604614</v>
      </c>
      <c r="K89" s="5">
        <v>0.29284116625785828</v>
      </c>
      <c r="L89" s="5">
        <v>1.104613743557013E-3</v>
      </c>
      <c r="M89" s="5">
        <v>2.2092275321483612E-3</v>
      </c>
      <c r="N89" s="5">
        <v>4.6989418489196128E-4</v>
      </c>
      <c r="O89" s="5">
        <v>49906.990151633072</v>
      </c>
      <c r="P89" s="5">
        <v>100</v>
      </c>
      <c r="Q89" s="6">
        <v>240000</v>
      </c>
      <c r="R89" t="b">
        <v>1</v>
      </c>
      <c r="S89">
        <f t="shared" si="2"/>
        <v>3.4100850246574325E-2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 s="4">
        <v>90</v>
      </c>
      <c r="B91" s="5">
        <v>1.60411161733039</v>
      </c>
      <c r="C91" s="5">
        <v>609.79998779296875</v>
      </c>
      <c r="D91" s="5">
        <v>1.604020357131958</v>
      </c>
      <c r="E91" s="5">
        <v>2.517539599011798E-8</v>
      </c>
      <c r="F91" s="5">
        <v>2.622093772515655E-3</v>
      </c>
      <c r="G91" s="5" t="b">
        <v>1</v>
      </c>
      <c r="H91" s="5">
        <v>550</v>
      </c>
      <c r="I91" s="5">
        <v>750</v>
      </c>
      <c r="J91" s="5">
        <v>0.53919690847396851</v>
      </c>
      <c r="K91" s="5">
        <v>0.29073333740234381</v>
      </c>
      <c r="L91" s="5">
        <v>6.0284047030276298E-4</v>
      </c>
      <c r="M91" s="5">
        <v>1.2056808918714519E-3</v>
      </c>
      <c r="N91" s="5">
        <v>9.126019843241906E-5</v>
      </c>
      <c r="O91" s="5">
        <v>18180.824512185522</v>
      </c>
      <c r="P91" s="5">
        <v>100</v>
      </c>
      <c r="Q91" s="6">
        <v>800000</v>
      </c>
      <c r="R91" t="b">
        <v>1</v>
      </c>
      <c r="S91">
        <f t="shared" si="2"/>
        <v>5.6891426660382266E-3</v>
      </c>
    </row>
    <row r="92" spans="1:19" x14ac:dyDescent="0.25">
      <c r="A92" s="4">
        <v>91</v>
      </c>
      <c r="B92" s="5">
        <v>1.741164351173744</v>
      </c>
      <c r="C92" s="5">
        <v>562.20001220703125</v>
      </c>
      <c r="D92" s="5">
        <v>1.740996718406677</v>
      </c>
      <c r="E92" s="5">
        <v>1.181162048169426E-7</v>
      </c>
      <c r="F92" s="5">
        <v>3.0820043757557869E-3</v>
      </c>
      <c r="G92" s="5" t="b">
        <v>1</v>
      </c>
      <c r="H92" s="5">
        <v>450</v>
      </c>
      <c r="I92" s="5">
        <v>650</v>
      </c>
      <c r="J92" s="5">
        <v>0.53832542896270752</v>
      </c>
      <c r="K92" s="5">
        <v>0.28979423642158508</v>
      </c>
      <c r="L92" s="5">
        <v>1.055743025747712E-3</v>
      </c>
      <c r="M92" s="5">
        <v>2.1114861592650409E-3</v>
      </c>
      <c r="N92" s="5">
        <v>1.676327670667721E-4</v>
      </c>
      <c r="O92" s="5">
        <v>13159.62491975308</v>
      </c>
      <c r="P92" s="5">
        <v>100</v>
      </c>
      <c r="Q92" s="6">
        <v>260000</v>
      </c>
      <c r="R92" t="b">
        <v>1</v>
      </c>
      <c r="S92">
        <f t="shared" si="2"/>
        <v>9.627624580859839E-3</v>
      </c>
    </row>
    <row r="93" spans="1:19" x14ac:dyDescent="0.25">
      <c r="A93" s="4">
        <v>92</v>
      </c>
      <c r="B93" s="5">
        <v>1.8944949560389981</v>
      </c>
      <c r="C93" s="5">
        <v>517.469970703125</v>
      </c>
      <c r="D93" s="5">
        <v>1.894332647323608</v>
      </c>
      <c r="E93" s="5">
        <v>1.8221340724267069E-5</v>
      </c>
      <c r="F93" s="5">
        <v>3.5621318966150279E-3</v>
      </c>
      <c r="G93" s="5" t="b">
        <v>1</v>
      </c>
      <c r="H93" s="5">
        <v>450</v>
      </c>
      <c r="I93" s="5">
        <v>600</v>
      </c>
      <c r="J93" s="5">
        <v>0.53948569297790527</v>
      </c>
      <c r="K93" s="5">
        <v>0.29104483127593989</v>
      </c>
      <c r="L93" s="5">
        <v>1.907369959289003E-3</v>
      </c>
      <c r="M93" s="5">
        <v>3.8147398736327891E-3</v>
      </c>
      <c r="N93" s="5">
        <v>1.6230871538924771E-4</v>
      </c>
      <c r="O93" s="5">
        <v>19702.440117026021</v>
      </c>
      <c r="P93" s="5">
        <v>100</v>
      </c>
      <c r="Q93" s="6">
        <v>80000</v>
      </c>
      <c r="R93" t="b">
        <v>1</v>
      </c>
      <c r="S93">
        <f t="shared" si="2"/>
        <v>8.5673870427505419E-3</v>
      </c>
    </row>
    <row r="94" spans="1:19" x14ac:dyDescent="0.25">
      <c r="A94" s="4">
        <v>93</v>
      </c>
      <c r="B94" s="5">
        <v>2.0641515592264712</v>
      </c>
      <c r="C94" s="5">
        <v>475.44000244140619</v>
      </c>
      <c r="D94" s="5">
        <v>2.0638003349304199</v>
      </c>
      <c r="E94" s="5">
        <v>2.372558469687647E-7</v>
      </c>
      <c r="F94" s="5">
        <v>4.3005542829632759E-3</v>
      </c>
      <c r="G94" s="5" t="b">
        <v>1</v>
      </c>
      <c r="H94" s="5">
        <v>350</v>
      </c>
      <c r="I94" s="5">
        <v>550</v>
      </c>
      <c r="J94" s="5">
        <v>0.5380215048789978</v>
      </c>
      <c r="K94" s="5">
        <v>0.28946712613105768</v>
      </c>
      <c r="L94" s="5">
        <v>1.5531343033584851E-3</v>
      </c>
      <c r="M94" s="5">
        <v>3.1062685884535308E-3</v>
      </c>
      <c r="N94" s="5">
        <v>3.5122429605083377E-4</v>
      </c>
      <c r="O94" s="5">
        <v>422.41678094999202</v>
      </c>
      <c r="P94" s="5">
        <v>100</v>
      </c>
      <c r="Q94" s="6">
        <v>120000</v>
      </c>
      <c r="R94" t="b">
        <v>1</v>
      </c>
      <c r="S94">
        <f t="shared" si="2"/>
        <v>1.7015431569494494E-2</v>
      </c>
    </row>
    <row r="95" spans="1:19" x14ac:dyDescent="0.25">
      <c r="A95" s="4">
        <v>94</v>
      </c>
      <c r="B95" s="5">
        <v>2.2499874789877352</v>
      </c>
      <c r="C95" s="5">
        <v>437.20999145507813</v>
      </c>
      <c r="D95" s="5">
        <v>2.2498457431793208</v>
      </c>
      <c r="E95" s="5">
        <v>1.224155039381003E-5</v>
      </c>
      <c r="F95" s="5">
        <v>5.0168195739388466E-3</v>
      </c>
      <c r="G95" s="5" t="b">
        <v>1</v>
      </c>
      <c r="H95" s="5">
        <v>350</v>
      </c>
      <c r="I95" s="5">
        <v>550</v>
      </c>
      <c r="J95" s="5">
        <v>0.54204505681991577</v>
      </c>
      <c r="K95" s="5">
        <v>0.29381284117698669</v>
      </c>
      <c r="L95" s="5">
        <v>1.2776124512867001E-3</v>
      </c>
      <c r="M95" s="5">
        <v>2.5552248116582632E-3</v>
      </c>
      <c r="N95" s="5">
        <v>1.4173580841392311E-4</v>
      </c>
      <c r="O95" s="5">
        <v>310.40811455219898</v>
      </c>
      <c r="P95" s="5">
        <v>100</v>
      </c>
      <c r="Q95" s="6">
        <v>180000</v>
      </c>
      <c r="R95" t="b">
        <v>1</v>
      </c>
      <c r="S95">
        <f t="shared" si="2"/>
        <v>6.2994043183604628E-3</v>
      </c>
    </row>
    <row r="96" spans="1:19" x14ac:dyDescent="0.25">
      <c r="A96" s="4">
        <v>95</v>
      </c>
      <c r="B96" s="5">
        <v>2.451611489865392</v>
      </c>
      <c r="C96" s="5">
        <v>402.47000122070313</v>
      </c>
      <c r="D96" s="5">
        <v>2.451360940933228</v>
      </c>
      <c r="E96" s="5">
        <v>9.8749660537578166E-7</v>
      </c>
      <c r="F96" s="5">
        <v>5.8587524108588704E-3</v>
      </c>
      <c r="G96" s="5" t="b">
        <v>1</v>
      </c>
      <c r="H96" s="5">
        <v>350</v>
      </c>
      <c r="I96" s="5">
        <v>550</v>
      </c>
      <c r="J96" s="5">
        <v>0.54326903820037842</v>
      </c>
      <c r="K96" s="5">
        <v>0.29514124989509583</v>
      </c>
      <c r="L96" s="5">
        <v>1.4519475784200151E-3</v>
      </c>
      <c r="M96" s="5">
        <v>2.9038952197879549E-3</v>
      </c>
      <c r="N96" s="5">
        <v>2.5054893216447383E-4</v>
      </c>
      <c r="O96" s="5">
        <v>113.80196059615569</v>
      </c>
      <c r="P96" s="5">
        <v>100</v>
      </c>
      <c r="Q96" s="6">
        <v>140000</v>
      </c>
      <c r="R96" t="b">
        <v>1</v>
      </c>
      <c r="S96">
        <f t="shared" si="2"/>
        <v>1.0219764966847599E-2</v>
      </c>
    </row>
    <row r="97" spans="1:19" x14ac:dyDescent="0.25">
      <c r="A97" s="4">
        <v>96</v>
      </c>
      <c r="B97" s="5">
        <v>2.668338221910707</v>
      </c>
      <c r="C97" s="5">
        <v>370.6400146484375</v>
      </c>
      <c r="D97" s="5">
        <v>2.6677896976470952</v>
      </c>
      <c r="E97" s="5">
        <v>1.853204230428673E-5</v>
      </c>
      <c r="F97" s="5">
        <v>7.0040496066212654E-3</v>
      </c>
      <c r="G97" s="5" t="b">
        <v>1</v>
      </c>
      <c r="H97" s="5">
        <v>250</v>
      </c>
      <c r="I97" s="5">
        <v>450</v>
      </c>
      <c r="J97" s="5">
        <v>0.54896694421768188</v>
      </c>
      <c r="K97" s="5">
        <v>0.30136469006538391</v>
      </c>
      <c r="L97" s="5">
        <v>1.5847310651014241E-3</v>
      </c>
      <c r="M97" s="5">
        <v>3.1694620847702031E-3</v>
      </c>
      <c r="N97" s="5">
        <v>5.4852426361229334E-4</v>
      </c>
      <c r="O97" s="5">
        <v>2548.071359190028</v>
      </c>
      <c r="P97" s="5">
        <v>100</v>
      </c>
      <c r="Q97" s="6">
        <v>120000</v>
      </c>
      <c r="R97" t="b">
        <v>1</v>
      </c>
      <c r="S97">
        <f t="shared" si="2"/>
        <v>2.0556774216557661E-2</v>
      </c>
    </row>
    <row r="98" spans="1:19" x14ac:dyDescent="0.25">
      <c r="A98" s="4">
        <v>97</v>
      </c>
      <c r="B98" s="5">
        <v>2.8991416438778361</v>
      </c>
      <c r="C98" s="5">
        <v>342.67001342773438</v>
      </c>
      <c r="D98" s="5">
        <v>2.8987081050872798</v>
      </c>
      <c r="E98" s="5">
        <v>4.6545892473659478E-6</v>
      </c>
      <c r="F98" s="5">
        <v>8.1189507618546486E-3</v>
      </c>
      <c r="G98" s="5" t="b">
        <v>1</v>
      </c>
      <c r="H98" s="5">
        <v>250</v>
      </c>
      <c r="I98" s="5">
        <v>450</v>
      </c>
      <c r="J98" s="5">
        <v>0.55779224634170532</v>
      </c>
      <c r="K98" s="5">
        <v>0.31113219261169428</v>
      </c>
      <c r="L98" s="5">
        <v>1.7638939596215119E-3</v>
      </c>
      <c r="M98" s="5">
        <v>3.5277879796922211E-3</v>
      </c>
      <c r="N98" s="5">
        <v>4.3353879055541E-4</v>
      </c>
      <c r="O98" s="5">
        <v>59.259805196770728</v>
      </c>
      <c r="P98" s="5">
        <v>100</v>
      </c>
      <c r="Q98" s="6">
        <v>100000</v>
      </c>
      <c r="R98" t="b">
        <v>1</v>
      </c>
      <c r="S98">
        <f t="shared" si="2"/>
        <v>1.4954039636901523E-2</v>
      </c>
    </row>
    <row r="99" spans="1:19" x14ac:dyDescent="0.25">
      <c r="A99" s="16">
        <v>98</v>
      </c>
      <c r="B99" s="16">
        <v>3.1426150900261072</v>
      </c>
      <c r="C99" s="16">
        <v>317.44000244140619</v>
      </c>
      <c r="D99" s="16">
        <v>3.142382144927979</v>
      </c>
      <c r="E99" s="16">
        <v>1.2216537470521871E-7</v>
      </c>
      <c r="F99" s="16">
        <v>9.36083123087883E-3</v>
      </c>
      <c r="G99" s="16" t="b">
        <v>1</v>
      </c>
      <c r="H99" s="16">
        <v>275</v>
      </c>
      <c r="I99" s="16">
        <v>375</v>
      </c>
      <c r="J99" s="16">
        <v>0.55945098400115967</v>
      </c>
      <c r="K99" s="16">
        <v>0.31298542022705078</v>
      </c>
      <c r="L99" s="16">
        <v>1.0971736478156151E-3</v>
      </c>
      <c r="M99" s="16">
        <v>2.194347325712442E-3</v>
      </c>
      <c r="N99" s="16">
        <v>2.329450981286563E-4</v>
      </c>
      <c r="O99" s="16">
        <v>2853.0617940883499</v>
      </c>
      <c r="P99" s="16">
        <v>150</v>
      </c>
      <c r="Q99" s="16">
        <v>260000</v>
      </c>
      <c r="R99" t="b">
        <v>1</v>
      </c>
      <c r="S99">
        <f t="shared" si="2"/>
        <v>7.4124603699628096E-3</v>
      </c>
    </row>
    <row r="100" spans="1:19" x14ac:dyDescent="0.25">
      <c r="A100" s="16">
        <v>99</v>
      </c>
      <c r="B100" s="16">
        <v>3.396941596840962</v>
      </c>
      <c r="C100" s="16">
        <v>296.010009765625</v>
      </c>
      <c r="D100" s="16">
        <v>3.3971948623657231</v>
      </c>
      <c r="E100" s="16">
        <v>6.5445474319858477E-6</v>
      </c>
      <c r="F100" s="16">
        <v>1.0850341059267519E-2</v>
      </c>
      <c r="G100" s="16" t="b">
        <v>1</v>
      </c>
      <c r="H100" s="16">
        <v>225</v>
      </c>
      <c r="I100" s="16">
        <v>325</v>
      </c>
      <c r="J100" s="16">
        <v>0.56075197458267212</v>
      </c>
      <c r="K100" s="16">
        <v>0.31444278359413153</v>
      </c>
      <c r="L100" s="16">
        <v>1.40187993645668E-3</v>
      </c>
      <c r="M100" s="16">
        <v>2.8037598822265859E-3</v>
      </c>
      <c r="N100" s="16">
        <v>2.5326552476068192E-4</v>
      </c>
      <c r="O100" s="16">
        <v>2123.5047142568869</v>
      </c>
      <c r="P100" s="16">
        <v>125</v>
      </c>
      <c r="Q100" s="16">
        <v>160000</v>
      </c>
      <c r="R100" t="b">
        <v>0</v>
      </c>
      <c r="S100">
        <f t="shared" si="2"/>
        <v>7.4556926441187599E-3</v>
      </c>
    </row>
    <row r="101" spans="1:19" x14ac:dyDescent="0.25">
      <c r="A101" s="16">
        <v>100</v>
      </c>
      <c r="B101" s="16">
        <v>3.6598783159560249</v>
      </c>
      <c r="C101" s="16">
        <v>277.489990234375</v>
      </c>
      <c r="D101" s="16">
        <v>3.659634113311768</v>
      </c>
      <c r="E101" s="16">
        <v>5.9604644775390618E-8</v>
      </c>
      <c r="F101" s="16">
        <v>1.1864723637700079E-2</v>
      </c>
      <c r="G101" s="16" t="b">
        <v>1</v>
      </c>
      <c r="H101" s="16">
        <v>225</v>
      </c>
      <c r="I101" s="16">
        <v>325</v>
      </c>
      <c r="J101" s="16">
        <v>0.55893903970718384</v>
      </c>
      <c r="K101" s="16">
        <v>0.31241282820701599</v>
      </c>
      <c r="L101" s="16">
        <v>1.056295497936046E-3</v>
      </c>
      <c r="M101" s="16">
        <v>2.112590940669179E-3</v>
      </c>
      <c r="N101" s="16">
        <v>2.4420264425728527E-4</v>
      </c>
      <c r="O101" s="16">
        <v>887.96277450411105</v>
      </c>
      <c r="P101" s="16">
        <v>125</v>
      </c>
      <c r="Q101" s="16">
        <v>280000</v>
      </c>
      <c r="R101" t="b">
        <v>0</v>
      </c>
      <c r="S101">
        <f t="shared" si="2"/>
        <v>6.6724252331732299E-3</v>
      </c>
    </row>
    <row r="102" spans="1:19" x14ac:dyDescent="0.25">
      <c r="A102" s="16">
        <v>101</v>
      </c>
      <c r="B102" s="16">
        <v>3.9287583783681899</v>
      </c>
      <c r="C102" s="16">
        <v>261.69000244140619</v>
      </c>
      <c r="D102" s="16">
        <v>3.9284789562225342</v>
      </c>
      <c r="E102" s="16">
        <v>1.20686563604977E-5</v>
      </c>
      <c r="F102" s="16">
        <v>1.258540060371161E-2</v>
      </c>
      <c r="G102" s="16" t="b">
        <v>1</v>
      </c>
      <c r="H102" s="16">
        <v>225</v>
      </c>
      <c r="I102" s="16">
        <v>325</v>
      </c>
      <c r="J102" s="16">
        <v>0.56471312046051025</v>
      </c>
      <c r="K102" s="16">
        <v>0.31890091300010681</v>
      </c>
      <c r="L102" s="16">
        <v>3.9931247690264248E-3</v>
      </c>
      <c r="M102" s="16">
        <v>7.9862494021654129E-3</v>
      </c>
      <c r="N102" s="16">
        <v>2.7942214565568341E-4</v>
      </c>
      <c r="O102" s="16">
        <v>24.661866731702229</v>
      </c>
      <c r="P102" s="16">
        <v>125</v>
      </c>
      <c r="Q102" s="16">
        <v>20000</v>
      </c>
      <c r="R102" t="b">
        <v>0</v>
      </c>
      <c r="S102">
        <f t="shared" si="2"/>
        <v>7.1122252565641725E-3</v>
      </c>
    </row>
    <row r="103" spans="1:19" x14ac:dyDescent="0.25">
      <c r="Q103" s="15" t="s">
        <v>19</v>
      </c>
      <c r="S103">
        <f>AVERAGE(S2:S102)</f>
        <v>5.6925956117222176E-2</v>
      </c>
    </row>
    <row r="104" spans="1:19" x14ac:dyDescent="0.25">
      <c r="Q104" s="15" t="s">
        <v>20</v>
      </c>
      <c r="S104" cm="1">
        <f t="array" ref="S104">MEDIAN(ABS(S2:S102))</f>
        <v>1.4954039636901523E-2</v>
      </c>
    </row>
    <row r="105" spans="1:19" x14ac:dyDescent="0.25">
      <c r="Q105" s="15" t="s">
        <v>22</v>
      </c>
      <c r="S105">
        <f>_xlfn.STDEV.S(S2:S102)</f>
        <v>0.10815046673686805</v>
      </c>
    </row>
    <row r="106" spans="1:19" x14ac:dyDescent="0.25">
      <c r="Q106" s="15" t="s">
        <v>21</v>
      </c>
      <c r="S106">
        <f>_xlfn.PERCENTILE.INC(S2:S102,0.95)</f>
        <v>0.29131995435649394</v>
      </c>
    </row>
    <row r="107" spans="1:19" x14ac:dyDescent="0.25">
      <c r="Q107" s="15" t="s">
        <v>23</v>
      </c>
      <c r="S107">
        <f>MAX(S2:S102)</f>
        <v>0.60810119606681023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2026-08-16T20:08:12Z</dcterms:modified>
</cp:coreProperties>
</file>