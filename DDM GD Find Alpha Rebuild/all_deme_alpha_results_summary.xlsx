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431B16C9-407F-44AA-B884-1F061EA9FFD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</calcChain>
</file>

<file path=xl/sharedStrings.xml><?xml version="1.0" encoding="utf-8"?>
<sst xmlns="http://schemas.openxmlformats.org/spreadsheetml/2006/main" count="17" uniqueCount="17">
  <si>
    <t>deme_index</t>
  </si>
  <si>
    <t>v_d_target</t>
  </si>
  <si>
    <t>alpha_star</t>
  </si>
  <si>
    <t>mu_final</t>
  </si>
  <si>
    <t>final_loss</t>
  </si>
  <si>
    <t>mk_slope_final</t>
  </si>
  <si>
    <t>pr_slope_ready</t>
  </si>
  <si>
    <t>alpha_min</t>
  </si>
  <si>
    <t>alpha_max</t>
  </si>
  <si>
    <t>std_final</t>
  </si>
  <si>
    <t>var_final</t>
  </si>
  <si>
    <t>std_err_final</t>
  </si>
  <si>
    <t>std_err_ci_final</t>
  </si>
  <si>
    <t>abs(mu_minus_vd)</t>
  </si>
  <si>
    <t>learning_rate</t>
  </si>
  <si>
    <t>num_epochs</t>
  </si>
  <si>
    <t>max_iter_final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</si>
</sst>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A10" sqref="A10"/>
    </sheetView>
  </sheetViews>
  <sheetFormatPr defaultRowHeight="15" x14ac:dyDescent="0.25"/>
  <cols>
    <col min="1" max="1" width="12.140625" bestFit="1" customWidth="1"/>
    <col min="2" max="2" width="11" bestFit="1" customWidth="1"/>
    <col min="3" max="4" width="12" bestFit="1" customWidth="1"/>
    <col min="5" max="5" width="11" bestFit="1" customWidth="1"/>
    <col min="6" max="6" width="14.7109375" bestFit="1" customWidth="1"/>
    <col min="7" max="7" width="14.85546875" bestFit="1" customWidth="1"/>
    <col min="8" max="8" width="10.28515625" bestFit="1" customWidth="1"/>
    <col min="9" max="9" width="10.5703125" bestFit="1" customWidth="1"/>
    <col min="10" max="11" width="12" bestFit="1" customWidth="1"/>
    <col min="12" max="12" width="12.28515625" bestFit="1" customWidth="1"/>
    <col min="13" max="13" width="14.85546875" bestFit="1" customWidth="1"/>
    <col min="14" max="14" width="18.140625" bestFit="1" customWidth="1"/>
    <col min="15" max="15" width="12.85546875" bestFit="1" customWidth="1"/>
    <col min="16" max="16" width="12.28515625" bestFit="1" customWidth="1"/>
    <col min="17" max="17" width="14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>
        <v>6.8255138645384933E-2</v>
      </c>
      <c r="C2">
        <v>19727.87890625</v>
      </c>
      <c r="D2">
        <v>6.6876111589908596E-2</v>
      </c>
      <c r="E2">
        <v>1.902211351989536E-6</v>
      </c>
      <c r="F2">
        <v>6.1902433117211331E-6</v>
      </c>
      <c r="G2" t="b">
        <v>1</v>
      </c>
      <c r="H2">
        <v>18750</v>
      </c>
      <c r="I2">
        <v>20250</v>
      </c>
      <c r="J2">
        <v>0.55052965879440308</v>
      </c>
      <c r="K2">
        <v>0.3030829131603241</v>
      </c>
      <c r="L2">
        <v>3.8928325497783862E-3</v>
      </c>
      <c r="M2">
        <v>7.7856648713350296E-3</v>
      </c>
      <c r="N2">
        <v>1.3790270554763367E-3</v>
      </c>
      <c r="O2">
        <v>229448709.42249441</v>
      </c>
      <c r="P2">
        <v>150</v>
      </c>
      <c r="Q2">
        <v>20000</v>
      </c>
    </row>
    <row r="3" spans="1:17" x14ac:dyDescent="0.25">
      <c r="A3">
        <v>2</v>
      </c>
      <c r="B3">
        <v>7.7261312811500088E-2</v>
      </c>
      <c r="C3">
        <v>16770.40234375</v>
      </c>
      <c r="D3">
        <v>7.5164414942264557E-2</v>
      </c>
      <c r="E3">
        <v>1.1489317330415361E-5</v>
      </c>
      <c r="F3">
        <v>5.1348115448490717E-6</v>
      </c>
      <c r="G3" t="b">
        <v>1</v>
      </c>
      <c r="H3">
        <v>14250</v>
      </c>
      <c r="I3">
        <v>18750</v>
      </c>
      <c r="J3">
        <v>0.55166816711425781</v>
      </c>
      <c r="K3">
        <v>0.30433773994445801</v>
      </c>
      <c r="L3">
        <v>3.9008830193124522E-3</v>
      </c>
      <c r="M3">
        <v>7.8017660416662693E-3</v>
      </c>
      <c r="N3">
        <v>2.0968978692355311E-3</v>
      </c>
      <c r="O3">
        <v>215881471.44897291</v>
      </c>
      <c r="P3">
        <v>150</v>
      </c>
      <c r="Q3">
        <v>20000</v>
      </c>
    </row>
    <row r="4" spans="1:17" x14ac:dyDescent="0.25">
      <c r="A4">
        <v>3</v>
      </c>
      <c r="B4">
        <v>8.7437268462869769E-2</v>
      </c>
      <c r="C4">
        <v>14446.8076171875</v>
      </c>
      <c r="D4">
        <v>8.8034152984619141E-2</v>
      </c>
      <c r="E4">
        <v>4.2610067794157658E-6</v>
      </c>
      <c r="F4">
        <v>1.503678595327074E-5</v>
      </c>
      <c r="G4" t="b">
        <v>1</v>
      </c>
      <c r="H4">
        <v>13750</v>
      </c>
      <c r="I4">
        <v>15000</v>
      </c>
      <c r="J4">
        <v>0.55165088176727295</v>
      </c>
      <c r="K4">
        <v>0.30431869626045233</v>
      </c>
      <c r="L4">
        <v>3.9007607934517709E-3</v>
      </c>
      <c r="M4">
        <v>7.8015215694904327E-3</v>
      </c>
      <c r="N4">
        <v>5.9688452174937179E-4</v>
      </c>
      <c r="O4">
        <v>57559347.746496662</v>
      </c>
      <c r="P4">
        <v>150</v>
      </c>
      <c r="Q4">
        <v>20000</v>
      </c>
    </row>
    <row r="5" spans="1:17" x14ac:dyDescent="0.25">
      <c r="A5">
        <v>4</v>
      </c>
      <c r="B5">
        <v>9.8929739735079153E-2</v>
      </c>
      <c r="C5">
        <v>12377.0849609375</v>
      </c>
      <c r="D5">
        <v>0.1018834933638573</v>
      </c>
      <c r="E5">
        <v>8.7246562543441541E-6</v>
      </c>
      <c r="F5">
        <v>1.474570581194712E-5</v>
      </c>
      <c r="G5" t="b">
        <v>1</v>
      </c>
      <c r="H5">
        <v>11750</v>
      </c>
      <c r="I5">
        <v>13250</v>
      </c>
      <c r="J5">
        <v>0.5475306510925293</v>
      </c>
      <c r="K5">
        <v>0.29978984594345093</v>
      </c>
      <c r="L5">
        <v>3.87162636295013E-3</v>
      </c>
      <c r="M5">
        <v>7.743252906948328E-3</v>
      </c>
      <c r="N5">
        <v>2.9537536287781441E-3</v>
      </c>
      <c r="O5">
        <v>45850570.836959213</v>
      </c>
      <c r="P5">
        <v>150</v>
      </c>
      <c r="Q5">
        <v>20000</v>
      </c>
    </row>
    <row r="6" spans="1:17" x14ac:dyDescent="0.25">
      <c r="A6">
        <v>5</v>
      </c>
      <c r="B6">
        <v>0.1119024130228327</v>
      </c>
      <c r="C6">
        <v>10614.443359375</v>
      </c>
      <c r="D6">
        <v>0.11329691112041471</v>
      </c>
      <c r="E6">
        <v>1.9446172245807251E-6</v>
      </c>
      <c r="F6">
        <v>1.1974460903729779E-5</v>
      </c>
      <c r="G6" t="b">
        <v>1</v>
      </c>
      <c r="H6">
        <v>10000</v>
      </c>
      <c r="I6">
        <v>11250</v>
      </c>
      <c r="J6">
        <v>0.54931265115737915</v>
      </c>
      <c r="K6">
        <v>0.30174437165260309</v>
      </c>
      <c r="L6">
        <v>3.884227006249432E-3</v>
      </c>
      <c r="M6">
        <v>7.7684540301561364E-3</v>
      </c>
      <c r="N6">
        <v>1.3944980975820059E-3</v>
      </c>
      <c r="O6">
        <v>134672597.50299519</v>
      </c>
      <c r="P6">
        <v>100</v>
      </c>
      <c r="Q6">
        <v>20000</v>
      </c>
    </row>
    <row r="7" spans="1:17" x14ac:dyDescent="0.25">
      <c r="A7">
        <v>6</v>
      </c>
      <c r="B7">
        <v>0.12653747766179149</v>
      </c>
      <c r="C7">
        <v>9169.5654296875</v>
      </c>
      <c r="D7">
        <v>0.12517066299915311</v>
      </c>
      <c r="E7">
        <v>2.3800682811270239E-6</v>
      </c>
      <c r="F7">
        <v>1.929402424138971E-5</v>
      </c>
      <c r="G7" t="b">
        <v>1</v>
      </c>
      <c r="H7">
        <v>7750</v>
      </c>
      <c r="I7">
        <v>9250</v>
      </c>
      <c r="J7">
        <v>0.54851353168487549</v>
      </c>
      <c r="K7">
        <v>0.30086711049079901</v>
      </c>
      <c r="L7">
        <v>3.878576378269577E-3</v>
      </c>
      <c r="M7">
        <v>7.757152896374464E-3</v>
      </c>
      <c r="N7">
        <v>1.366814662638383E-3</v>
      </c>
      <c r="O7">
        <v>41834339.641357012</v>
      </c>
      <c r="P7">
        <v>120</v>
      </c>
      <c r="Q7">
        <v>20000</v>
      </c>
    </row>
    <row r="8" spans="1:17" x14ac:dyDescent="0.25">
      <c r="A8">
        <v>7</v>
      </c>
      <c r="B8">
        <v>0.14303719980762769</v>
      </c>
      <c r="C8">
        <v>7963.41650390625</v>
      </c>
      <c r="D8">
        <v>0.14415986835956571</v>
      </c>
      <c r="E8">
        <v>1.8756336430669759E-5</v>
      </c>
      <c r="F8">
        <v>2.215739004896022E-5</v>
      </c>
      <c r="G8" t="b">
        <v>1</v>
      </c>
      <c r="H8">
        <v>6750</v>
      </c>
      <c r="I8">
        <v>8250</v>
      </c>
      <c r="J8">
        <v>0.55184644460678101</v>
      </c>
      <c r="K8">
        <v>0.30453449487686157</v>
      </c>
      <c r="L8">
        <v>3.902143631551413E-3</v>
      </c>
      <c r="M8">
        <v>7.8042871318757534E-3</v>
      </c>
      <c r="N8">
        <v>1.1226685519380439E-3</v>
      </c>
      <c r="O8">
        <v>28508704.493796129</v>
      </c>
      <c r="P8">
        <v>120</v>
      </c>
      <c r="Q8">
        <v>20000</v>
      </c>
    </row>
    <row r="9" spans="1:17" x14ac:dyDescent="0.25">
      <c r="A9">
        <v>8</v>
      </c>
      <c r="B9">
        <v>0.1616254787212342</v>
      </c>
      <c r="C9">
        <v>6919.48779296875</v>
      </c>
      <c r="D9">
        <v>0.16161872446537021</v>
      </c>
      <c r="E9">
        <v>4.556555133206075E-11</v>
      </c>
      <c r="F9">
        <v>2.9522683689720001E-5</v>
      </c>
      <c r="G9" t="b">
        <v>1</v>
      </c>
      <c r="H9">
        <v>5750</v>
      </c>
      <c r="I9">
        <v>7250</v>
      </c>
      <c r="J9">
        <v>0.54778468608856201</v>
      </c>
      <c r="K9">
        <v>0.30006805062294012</v>
      </c>
      <c r="L9">
        <v>3.8734226616336642E-3</v>
      </c>
      <c r="M9">
        <v>7.7468454837799072E-3</v>
      </c>
      <c r="N9">
        <f>B9-D9</f>
        <v>6.7542558639943628E-6</v>
      </c>
      <c r="O9">
        <v>16757861.71388893</v>
      </c>
      <c r="P9">
        <v>120</v>
      </c>
      <c r="Q9">
        <v>20000</v>
      </c>
    </row>
    <row r="10" spans="1:17" x14ac:dyDescent="0.25">
      <c r="A10">
        <v>9</v>
      </c>
      <c r="B10">
        <v>0.1825493302612313</v>
      </c>
      <c r="C10">
        <v>5999.59765625</v>
      </c>
      <c r="D10">
        <v>0.1818207651376724</v>
      </c>
      <c r="E10">
        <v>6.4081082200573292E-6</v>
      </c>
      <c r="F10">
        <v>3.1045878131408238E-5</v>
      </c>
      <c r="G10" t="b">
        <v>1</v>
      </c>
      <c r="H10">
        <v>5750</v>
      </c>
      <c r="I10">
        <v>7250</v>
      </c>
      <c r="J10">
        <v>0.54828858375549316</v>
      </c>
      <c r="K10">
        <v>0.30062034726142878</v>
      </c>
      <c r="L10">
        <v>3.876985756206775E-3</v>
      </c>
      <c r="M10">
        <v>7.7539714984595784E-3</v>
      </c>
      <c r="N10">
        <v>7.2856512355887193E-4</v>
      </c>
      <c r="O10">
        <v>12491933.049825611</v>
      </c>
      <c r="P10">
        <v>120</v>
      </c>
      <c r="Q10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2025-10-14T20:28:48Z</dcterms:created>
  <dcterms:modified xsi:type="dcterms:W3CDTF">2025-10-17T14:13:41Z</dcterms:modified>
</cp:coreProperties>
</file>