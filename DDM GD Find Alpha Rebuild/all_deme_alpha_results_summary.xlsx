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D35E99BD-07EB-46E2-A172-91493B483864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59" i="1" l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N9" i="1"/>
  <c r="S9" i="1" s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<sst xmlns="http://schemas.openxmlformats.org/spreadsheetml/2006/main" count="19" uniqueCount="19">
  <si>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</si>
  <si>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</si>
  <si>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</si>
  <si>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</si>
  <si>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</si>
  <si>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</si>
  <si>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</si>
  <si>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</si>
  <si>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</si>
  <si>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</si>
  <si>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</si>
  <si>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</si>
  <si>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</si>
  <si>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</si>
  <si>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</si>
  <si>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</si>
  <si>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</si>
  <si>
    <t>linear_filter_region</t>
  </si>
  <si>
    <t>Error: (mu - vd)/vd *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</si>
</sst>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2"/>
  <sheetViews>
    <sheetView tabSelected="1" workbookViewId="0">
      <pane ySplit="1" topLeftCell="A32" activePane="bottomLeft" state="frozen"/>
      <selection pane="bottomLeft" activeCell="S58" sqref="S58:S61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2" t="s">
        <v>18</v>
      </c>
    </row>
    <row r="2" spans="1:19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  <c r="R2" t="b">
        <v>1</v>
      </c>
      <c r="S2">
        <f>(N2/B2)*100</f>
        <v>2.0204003432488515</v>
      </c>
    </row>
    <row r="3" spans="1:19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  <c r="R3" t="b">
        <v>1</v>
      </c>
      <c r="S3">
        <f t="shared" ref="S3:S61" si="0">(N3/B3)*100</f>
        <v>2.7140334443338827</v>
      </c>
    </row>
    <row r="4" spans="1:19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  <c r="R4" t="b">
        <v>1</v>
      </c>
      <c r="S4">
        <f t="shared" si="0"/>
        <v>0.68264314775894308</v>
      </c>
    </row>
    <row r="5" spans="1:19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  <c r="R5" t="b">
        <v>1</v>
      </c>
      <c r="S5">
        <f t="shared" si="0"/>
        <v>2.9857084802688334</v>
      </c>
    </row>
    <row r="6" spans="1:19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  <c r="R6" t="b">
        <v>1</v>
      </c>
      <c r="S6">
        <f t="shared" si="0"/>
        <v>1.2461733933275156</v>
      </c>
    </row>
    <row r="7" spans="1:19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  <c r="R7" t="b">
        <v>1</v>
      </c>
      <c r="S7">
        <f t="shared" si="0"/>
        <v>1.0801658827842262</v>
      </c>
    </row>
    <row r="8" spans="1:19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  <c r="R8" t="b">
        <v>1</v>
      </c>
      <c r="S8">
        <f t="shared" si="0"/>
        <v>0.78487872626696631</v>
      </c>
    </row>
    <row r="9" spans="1:19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  <c r="R9" t="b">
        <v>1</v>
      </c>
      <c r="S9">
        <f t="shared" si="0"/>
        <v>4.1789549008197282E-3</v>
      </c>
    </row>
    <row r="10" spans="1:19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  <c r="R10" t="b">
        <v>1</v>
      </c>
      <c r="S10">
        <f t="shared" si="0"/>
        <v>0.39910588689439858</v>
      </c>
    </row>
    <row r="11" spans="1:19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  <c r="R11" t="b">
        <v>1</v>
      </c>
      <c r="S11">
        <f t="shared" si="0"/>
        <v>0.46342492323011231</v>
      </c>
    </row>
    <row r="12" spans="1:19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  <c r="R12" t="b">
        <v>1</v>
      </c>
      <c r="S12">
        <f t="shared" si="0"/>
        <v>1.9336280974790394</v>
      </c>
    </row>
    <row r="13" spans="1:19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  <c r="R13" t="b">
        <v>1</v>
      </c>
      <c r="S13">
        <f t="shared" si="0"/>
        <v>0.79270180115987665</v>
      </c>
    </row>
    <row r="14" spans="1:19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  <c r="R14" t="b">
        <v>1</v>
      </c>
      <c r="S14">
        <f t="shared" si="0"/>
        <v>1.3191460655737537</v>
      </c>
    </row>
    <row r="15" spans="1:19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  <c r="R15" t="b">
        <v>1</v>
      </c>
      <c r="S15">
        <f t="shared" si="0"/>
        <v>0.32260153857935603</v>
      </c>
    </row>
    <row r="16" spans="1:19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  <c r="R16" t="b">
        <v>1</v>
      </c>
      <c r="S16">
        <f t="shared" si="0"/>
        <v>0.8434806960093103</v>
      </c>
    </row>
    <row r="17" spans="1:19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  <c r="R17" t="b">
        <v>1</v>
      </c>
      <c r="S17">
        <f t="shared" si="0"/>
        <v>1.3696074133874692</v>
      </c>
    </row>
    <row r="18" spans="1:19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  <c r="R18" t="b">
        <v>1</v>
      </c>
      <c r="S18">
        <f t="shared" si="0"/>
        <v>0.35442873118006352</v>
      </c>
    </row>
    <row r="19" spans="1:19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  <c r="S19">
        <f t="shared" si="0"/>
        <v>0.54246558749282658</v>
      </c>
    </row>
    <row r="20" spans="1:19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  <c r="S20">
        <f t="shared" si="0"/>
        <v>0.32355372706388208</v>
      </c>
    </row>
    <row r="21" spans="1:19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  <c r="S21">
        <f t="shared" si="0"/>
        <v>5.5988521257120927E-6</v>
      </c>
    </row>
    <row r="22" spans="1:19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  <c r="R22" t="b">
        <v>1</v>
      </c>
      <c r="S22">
        <f t="shared" si="0"/>
        <v>9.6848892336182241E-2</v>
      </c>
    </row>
    <row r="23" spans="1:19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  <c r="S23">
        <f t="shared" si="0"/>
        <v>0.10961782396984278</v>
      </c>
    </row>
    <row r="24" spans="1:19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  <c r="S24">
        <f t="shared" si="0"/>
        <v>0.68851095905452109</v>
      </c>
    </row>
    <row r="25" spans="1:19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v>5.6997116189450032E-5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  <c r="S25">
        <f t="shared" si="0"/>
        <v>0.33418254417475352</v>
      </c>
    </row>
    <row r="26" spans="1:19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v>1.5530490600212941E-6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  <c r="S26">
        <f t="shared" si="0"/>
        <v>0.11077501433831266</v>
      </c>
    </row>
    <row r="27" spans="1:19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v>1.8725501149674528E-9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v>9.9556837085401639E-7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  <c r="S28">
        <f t="shared" si="0"/>
        <v>7.2972306555972713E-2</v>
      </c>
    </row>
    <row r="29" spans="1:19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v>3.6981280572945252E-5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v>1.2060374501743351E-5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  <c r="S30">
        <f t="shared" si="0"/>
        <v>0.21151923943697956</v>
      </c>
    </row>
    <row r="31" spans="1:19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v>1.09479788079625E-5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  <c r="S31">
        <f t="shared" si="0"/>
        <v>0.18482698573388812</v>
      </c>
    </row>
    <row r="32" spans="1:19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v>1.384849383612163E-5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  <c r="R32" t="b">
        <v>1</v>
      </c>
      <c r="S32">
        <f t="shared" si="0"/>
        <v>7.3045650476771182E-2</v>
      </c>
    </row>
    <row r="33" spans="1:19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v>7.4927220339304768E-6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  <c r="S33">
        <f t="shared" si="0"/>
        <v>5.1033957365229358E-2</v>
      </c>
    </row>
    <row r="34" spans="1:19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v>3.9674636354902759E-5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  <c r="S34">
        <f t="shared" si="0"/>
        <v>2.7868430810511803E-2</v>
      </c>
    </row>
    <row r="35" spans="1:19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v>2.323114676983096E-5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  <c r="S35">
        <f t="shared" si="0"/>
        <v>0.15017006328497925</v>
      </c>
    </row>
    <row r="36" spans="1:19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v>6.0270158428465948E-5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  <c r="S36">
        <f t="shared" si="0"/>
        <v>5.6650630776740339E-2</v>
      </c>
    </row>
    <row r="37" spans="1:19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v>4.5278979996510324E-6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  <c r="S37">
        <f t="shared" si="0"/>
        <v>7.6762677254653286E-2</v>
      </c>
    </row>
    <row r="38" spans="1:19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v>8.9337772806175053E-5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  <c r="S38">
        <f t="shared" si="0"/>
        <v>0.10433243006341508</v>
      </c>
    </row>
    <row r="39" spans="1:19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v>1.016875467030331E-5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  <c r="S39">
        <f t="shared" si="0"/>
        <v>0.10290646188957213</v>
      </c>
    </row>
    <row r="40" spans="1:19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v>1.8376363186689559E-7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  <c r="S40">
        <f t="shared" si="0"/>
        <v>1.3172830744431957E-2</v>
      </c>
    </row>
    <row r="41" spans="1:19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v>3.0859723665344059E-9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0"/>
        <v>1.6304505520652393E-3</v>
      </c>
    </row>
    <row r="42" spans="1:19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v>2.3094273728929689E-6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0"/>
        <v>6.1260417969444527E-3</v>
      </c>
    </row>
    <row r="43" spans="1:19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v>4.2231480620102957E-5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  <c r="S43">
        <f t="shared" si="0"/>
        <v>0.17717840620584274</v>
      </c>
    </row>
    <row r="44" spans="1:19" x14ac:dyDescent="0.25">
      <c r="A44">
        <v>43</v>
      </c>
      <c r="B44">
        <v>3.782840056259261</v>
      </c>
      <c r="C44">
        <v>269.969482421875</v>
      </c>
      <c r="D44">
        <v>3.7809262275695801</v>
      </c>
      <c r="E44">
        <v>8.4134826465742663E-6</v>
      </c>
      <c r="F44">
        <v>1.194366067647934E-2</v>
      </c>
      <c r="G44" t="b">
        <v>1</v>
      </c>
      <c r="H44">
        <v>237.5</v>
      </c>
      <c r="I44">
        <v>312.5</v>
      </c>
      <c r="J44">
        <v>0.56113547086715698</v>
      </c>
      <c r="K44">
        <v>0.31487300992012018</v>
      </c>
      <c r="L44">
        <v>3.9678269661447309E-3</v>
      </c>
      <c r="M44">
        <v>7.9356543719768524E-3</v>
      </c>
      <c r="N44">
        <v>1.9138286896813741E-3</v>
      </c>
      <c r="O44">
        <v>230.76542207776089</v>
      </c>
      <c r="P44">
        <v>70</v>
      </c>
      <c r="Q44">
        <v>20000</v>
      </c>
      <c r="R44" t="b">
        <v>0</v>
      </c>
      <c r="S44">
        <f t="shared" si="0"/>
        <v>5.0592376659295051E-2</v>
      </c>
    </row>
    <row r="45" spans="1:19" x14ac:dyDescent="0.25">
      <c r="A45">
        <v>44</v>
      </c>
      <c r="B45">
        <v>3.884288006826818</v>
      </c>
      <c r="C45">
        <v>264.39816284179688</v>
      </c>
      <c r="D45">
        <v>3.8849186897277832</v>
      </c>
      <c r="E45">
        <v>3.5917423701903321E-6</v>
      </c>
      <c r="F45">
        <v>1.200863532721996E-2</v>
      </c>
      <c r="G45" t="b">
        <v>1</v>
      </c>
      <c r="H45">
        <v>237.5</v>
      </c>
      <c r="I45">
        <v>312.5</v>
      </c>
      <c r="J45">
        <v>0.56131619215011597</v>
      </c>
      <c r="K45">
        <v>0.31507584452629089</v>
      </c>
      <c r="L45">
        <v>3.9691048585915809E-3</v>
      </c>
      <c r="M45">
        <v>7.9382099211215973E-3</v>
      </c>
      <c r="N45">
        <v>6.3068290096568447E-4</v>
      </c>
      <c r="O45">
        <v>217.6845692947806</v>
      </c>
      <c r="P45">
        <v>70</v>
      </c>
      <c r="Q45">
        <v>20000</v>
      </c>
      <c r="R45" t="b">
        <v>0</v>
      </c>
      <c r="S45">
        <f t="shared" si="0"/>
        <v>1.6236769772406932E-2</v>
      </c>
    </row>
    <row r="46" spans="1:19" x14ac:dyDescent="0.25">
      <c r="A46">
        <v>45</v>
      </c>
      <c r="B46">
        <v>3.9710387796361699</v>
      </c>
      <c r="C46">
        <v>259.77481079101563</v>
      </c>
      <c r="D46">
        <v>3.9658000469207759</v>
      </c>
      <c r="E46">
        <v>3.3645632356638089E-5</v>
      </c>
      <c r="F46">
        <v>1.225267723202705E-2</v>
      </c>
      <c r="G46" t="b">
        <v>1</v>
      </c>
      <c r="H46">
        <v>237.5</v>
      </c>
      <c r="I46">
        <v>312.5</v>
      </c>
      <c r="J46">
        <v>0.5661243200302124</v>
      </c>
      <c r="K46">
        <v>0.32049673795700068</v>
      </c>
      <c r="L46">
        <v>4.0031034568798638E-3</v>
      </c>
      <c r="M46">
        <v>8.006206713616848E-3</v>
      </c>
      <c r="N46">
        <v>5.2387327153935459E-3</v>
      </c>
      <c r="O46">
        <v>204.12909004158439</v>
      </c>
      <c r="P46">
        <v>70</v>
      </c>
      <c r="Q46">
        <v>20000</v>
      </c>
      <c r="R46" t="b">
        <v>0</v>
      </c>
      <c r="S46">
        <f t="shared" si="0"/>
        <v>0.13192348415881053</v>
      </c>
    </row>
    <row r="47" spans="1:19" x14ac:dyDescent="0.25">
      <c r="A47">
        <v>46</v>
      </c>
      <c r="B47">
        <v>4.0422016787925781</v>
      </c>
      <c r="C47">
        <v>256.16012573242188</v>
      </c>
      <c r="D47">
        <v>4.0417561531066886</v>
      </c>
      <c r="E47">
        <v>6.525044227601029E-6</v>
      </c>
      <c r="F47">
        <v>1.2260697782039641E-2</v>
      </c>
      <c r="G47" t="b">
        <v>1</v>
      </c>
      <c r="H47">
        <v>237.5</v>
      </c>
      <c r="I47">
        <v>312.5</v>
      </c>
      <c r="J47">
        <v>0.56090027093887329</v>
      </c>
      <c r="K47">
        <v>0.3146091103553772</v>
      </c>
      <c r="L47">
        <v>3.9661638515024909E-3</v>
      </c>
      <c r="M47">
        <v>7.9323276877403259E-3</v>
      </c>
      <c r="N47">
        <v>4.4552568588862579E-4</v>
      </c>
      <c r="O47">
        <v>196.87610357823519</v>
      </c>
      <c r="P47">
        <v>70</v>
      </c>
      <c r="Q47">
        <v>20000</v>
      </c>
      <c r="R47" t="b">
        <v>0</v>
      </c>
      <c r="S47">
        <f t="shared" si="0"/>
        <v>1.1021856930743399E-2</v>
      </c>
    </row>
    <row r="48" spans="1:19" x14ac:dyDescent="0.25">
      <c r="A48">
        <v>47</v>
      </c>
      <c r="B48">
        <v>4.097070649025869</v>
      </c>
      <c r="C48">
        <v>253.69715881347659</v>
      </c>
      <c r="D48">
        <v>4.0973377227783203</v>
      </c>
      <c r="E48">
        <v>1.605112629476935E-5</v>
      </c>
      <c r="F48">
        <v>1.238360535353422E-2</v>
      </c>
      <c r="G48" t="b">
        <v>1</v>
      </c>
      <c r="H48">
        <v>237.5</v>
      </c>
      <c r="I48">
        <v>312.5</v>
      </c>
      <c r="J48">
        <v>0.56623989343643188</v>
      </c>
      <c r="K48">
        <v>0.3206275999546051</v>
      </c>
      <c r="L48">
        <v>4.0039206842724896E-3</v>
      </c>
      <c r="M48">
        <v>8.0078411847352982E-3</v>
      </c>
      <c r="N48">
        <v>2.6707375245127452E-4</v>
      </c>
      <c r="O48">
        <v>189.7361745881683</v>
      </c>
      <c r="P48">
        <v>70</v>
      </c>
      <c r="Q48">
        <v>20000</v>
      </c>
      <c r="R48" t="b">
        <v>0</v>
      </c>
      <c r="S48">
        <f t="shared" si="0"/>
        <v>6.5186513811953603E-3</v>
      </c>
    </row>
    <row r="49" spans="1:19" x14ac:dyDescent="0.25">
      <c r="A49">
        <v>48</v>
      </c>
      <c r="B49">
        <v>4.1351213578181021</v>
      </c>
      <c r="C49">
        <v>252.0335693359375</v>
      </c>
      <c r="D49">
        <v>4.134462833404541</v>
      </c>
      <c r="E49">
        <v>6.5836411522468552E-6</v>
      </c>
      <c r="F49">
        <v>1.246379967778921E-2</v>
      </c>
      <c r="G49" t="b">
        <v>1</v>
      </c>
      <c r="H49">
        <v>237.5</v>
      </c>
      <c r="I49">
        <v>312.5</v>
      </c>
      <c r="J49">
        <v>0.56949388980865479</v>
      </c>
      <c r="K49">
        <v>0.32432326674461359</v>
      </c>
      <c r="L49">
        <v>4.0269299132800421E-3</v>
      </c>
      <c r="M49">
        <v>8.0538596957921982E-3</v>
      </c>
      <c r="N49">
        <v>6.5852441356106795E-4</v>
      </c>
      <c r="O49">
        <v>185.0619650927994</v>
      </c>
      <c r="P49">
        <v>70</v>
      </c>
      <c r="Q49">
        <v>20000</v>
      </c>
      <c r="R49" t="b">
        <v>0</v>
      </c>
      <c r="S49">
        <f t="shared" si="0"/>
        <v>1.5925153256168001E-2</v>
      </c>
    </row>
    <row r="50" spans="1:19" x14ac:dyDescent="0.25">
      <c r="A50">
        <v>49</v>
      </c>
      <c r="B50">
        <v>4.15600701030269</v>
      </c>
      <c r="C50">
        <v>250.99427795410159</v>
      </c>
      <c r="D50">
        <v>4.1583695411682129</v>
      </c>
      <c r="E50">
        <v>5.5824839364504442E-6</v>
      </c>
      <c r="F50">
        <v>1.2391099706292151E-2</v>
      </c>
      <c r="G50" t="b">
        <v>1</v>
      </c>
      <c r="H50">
        <v>237.5</v>
      </c>
      <c r="I50">
        <v>312.5</v>
      </c>
      <c r="J50">
        <v>0.56913793087005615</v>
      </c>
      <c r="K50">
        <v>0.32391795516014099</v>
      </c>
      <c r="L50">
        <v>4.0244129034869717E-3</v>
      </c>
      <c r="M50">
        <v>8.0488258972764015E-3</v>
      </c>
      <c r="N50">
        <v>2.3625308655228494E-3</v>
      </c>
      <c r="O50">
        <v>184.281506851232</v>
      </c>
      <c r="P50">
        <v>70</v>
      </c>
      <c r="Q50">
        <v>20000</v>
      </c>
      <c r="R50" t="b">
        <v>0</v>
      </c>
      <c r="S50">
        <f t="shared" si="0"/>
        <v>5.6846171329022414E-2</v>
      </c>
    </row>
    <row r="51" spans="1:19" x14ac:dyDescent="0.25">
      <c r="A51">
        <v>50</v>
      </c>
      <c r="B51">
        <v>4.1595545203155497</v>
      </c>
      <c r="C51">
        <v>250.8698425292969</v>
      </c>
      <c r="D51">
        <v>4.1580691337585449</v>
      </c>
      <c r="E51">
        <v>2.8252600259293099E-6</v>
      </c>
      <c r="F51">
        <v>1.245470345020294E-2</v>
      </c>
      <c r="G51" t="b">
        <v>1</v>
      </c>
      <c r="H51">
        <v>237.5</v>
      </c>
      <c r="I51">
        <v>312.5</v>
      </c>
      <c r="J51">
        <v>0.56732523441314697</v>
      </c>
      <c r="K51">
        <v>0.32185789942741388</v>
      </c>
      <c r="L51">
        <v>4.011595203917839E-3</v>
      </c>
      <c r="M51">
        <v>8.0231903120875359E-3</v>
      </c>
      <c r="N51">
        <v>1.485386557004809E-3</v>
      </c>
      <c r="O51">
        <v>183.0278237145574</v>
      </c>
      <c r="P51">
        <v>70</v>
      </c>
      <c r="Q51">
        <v>20000</v>
      </c>
      <c r="R51" t="b">
        <v>0</v>
      </c>
      <c r="S51">
        <f t="shared" si="0"/>
        <v>3.5710231702699873E-2</v>
      </c>
    </row>
    <row r="52" spans="1:19" x14ac:dyDescent="0.25">
      <c r="A52">
        <v>51</v>
      </c>
      <c r="B52">
        <v>4.1457622553970923</v>
      </c>
      <c r="C52">
        <v>251.53941345214841</v>
      </c>
      <c r="D52">
        <v>4.1454730033874512</v>
      </c>
      <c r="E52">
        <v>4.4843727664556346E-6</v>
      </c>
      <c r="F52">
        <v>1.240388490259647E-2</v>
      </c>
      <c r="G52" t="b">
        <v>1</v>
      </c>
      <c r="H52">
        <v>237.5</v>
      </c>
      <c r="I52">
        <v>312.5</v>
      </c>
      <c r="J52">
        <v>0.56639975309371948</v>
      </c>
      <c r="K52">
        <v>0.32080864906311041</v>
      </c>
      <c r="L52">
        <v>4.005051062749552E-3</v>
      </c>
      <c r="M52">
        <v>8.0101024359464645E-3</v>
      </c>
      <c r="N52">
        <v>2.8925200964113884E-4</v>
      </c>
      <c r="O52">
        <v>185.00251613206731</v>
      </c>
      <c r="P52">
        <v>70</v>
      </c>
      <c r="Q52">
        <v>20000</v>
      </c>
      <c r="R52" t="b">
        <v>0</v>
      </c>
      <c r="S52">
        <f t="shared" si="0"/>
        <v>6.9770525134329854E-3</v>
      </c>
    </row>
    <row r="53" spans="1:19" x14ac:dyDescent="0.25">
      <c r="A53">
        <v>52</v>
      </c>
      <c r="B53">
        <v>4.1148000406331944</v>
      </c>
      <c r="C53">
        <v>252.98548889160159</v>
      </c>
      <c r="D53">
        <v>4.1105003356933594</v>
      </c>
      <c r="E53">
        <v>1.8969774828292429E-5</v>
      </c>
      <c r="F53">
        <v>1.2394062243402001E-2</v>
      </c>
      <c r="G53" t="b">
        <v>1</v>
      </c>
      <c r="H53">
        <v>237.5</v>
      </c>
      <c r="I53">
        <v>312.5</v>
      </c>
      <c r="J53">
        <v>0.56902927160263062</v>
      </c>
      <c r="K53">
        <v>0.32379433512687678</v>
      </c>
      <c r="L53">
        <v>4.0236445664386181E-3</v>
      </c>
      <c r="M53">
        <v>8.047289215028286E-3</v>
      </c>
      <c r="N53">
        <v>4.2997049398350029E-3</v>
      </c>
      <c r="O53">
        <v>187.9459646495151</v>
      </c>
      <c r="P53">
        <v>70</v>
      </c>
      <c r="Q53">
        <v>20000</v>
      </c>
      <c r="R53" t="b">
        <v>0</v>
      </c>
      <c r="S53">
        <f t="shared" si="0"/>
        <v>0.10449365454884546</v>
      </c>
    </row>
    <row r="54" spans="1:19" x14ac:dyDescent="0.25">
      <c r="A54">
        <v>53</v>
      </c>
      <c r="B54">
        <v>4.067011505252216</v>
      </c>
      <c r="C54">
        <v>254.99934387207031</v>
      </c>
      <c r="D54">
        <v>4.0660710334777832</v>
      </c>
      <c r="E54">
        <v>8.8420711108483374E-7</v>
      </c>
      <c r="F54">
        <v>1.24565688893199E-2</v>
      </c>
      <c r="G54" t="b">
        <v>1</v>
      </c>
      <c r="H54">
        <v>237.5</v>
      </c>
      <c r="I54">
        <v>312.5</v>
      </c>
      <c r="J54">
        <v>0.56584775447845459</v>
      </c>
      <c r="K54">
        <v>0.32018366456031799</v>
      </c>
      <c r="L54">
        <v>4.0011478431089594E-3</v>
      </c>
      <c r="M54">
        <v>8.0022960901260376E-3</v>
      </c>
      <c r="N54">
        <v>9.4047177443279395E-4</v>
      </c>
      <c r="O54">
        <v>191.42335034994889</v>
      </c>
      <c r="P54">
        <v>70</v>
      </c>
      <c r="Q54">
        <v>20000</v>
      </c>
      <c r="R54" t="b">
        <v>0</v>
      </c>
      <c r="S54">
        <f t="shared" si="0"/>
        <v>2.3124394244231933E-2</v>
      </c>
    </row>
    <row r="55" spans="1:19" x14ac:dyDescent="0.25">
      <c r="A55">
        <v>54</v>
      </c>
      <c r="B55">
        <v>4.0029182471614666</v>
      </c>
      <c r="C55">
        <v>258.19088745117188</v>
      </c>
      <c r="D55">
        <v>4.0047173500061044</v>
      </c>
      <c r="E55">
        <v>2.0317931557656269E-5</v>
      </c>
      <c r="F55">
        <v>1.22710932046175E-2</v>
      </c>
      <c r="G55" t="b">
        <v>1</v>
      </c>
      <c r="H55">
        <v>237.5</v>
      </c>
      <c r="I55">
        <v>312.5</v>
      </c>
      <c r="J55">
        <v>0.56380140781402588</v>
      </c>
      <c r="K55">
        <v>0.31787201762199402</v>
      </c>
      <c r="L55">
        <v>3.9866779870781979E-3</v>
      </c>
      <c r="M55">
        <v>7.9733561724424362E-3</v>
      </c>
      <c r="N55">
        <v>1.7991028446360251E-3</v>
      </c>
      <c r="O55">
        <v>200.58915715964201</v>
      </c>
      <c r="P55">
        <v>70</v>
      </c>
      <c r="Q55">
        <v>20000</v>
      </c>
      <c r="R55" t="b">
        <v>0</v>
      </c>
      <c r="S55">
        <f t="shared" si="0"/>
        <v>4.4944781120918417E-2</v>
      </c>
    </row>
    <row r="56" spans="1:19" x14ac:dyDescent="0.25">
      <c r="A56">
        <v>55</v>
      </c>
      <c r="B56">
        <v>3.92322473447055</v>
      </c>
      <c r="C56">
        <v>262.21731567382813</v>
      </c>
      <c r="D56">
        <v>3.922494649887085</v>
      </c>
      <c r="E56">
        <v>5.3295502766559366E-7</v>
      </c>
      <c r="F56">
        <v>1.220550481230021E-2</v>
      </c>
      <c r="G56" t="b">
        <v>1</v>
      </c>
      <c r="H56">
        <v>237.5</v>
      </c>
      <c r="I56">
        <v>312.5</v>
      </c>
      <c r="J56">
        <v>0.56356090307235718</v>
      </c>
      <c r="K56">
        <v>0.31760090589523321</v>
      </c>
      <c r="L56">
        <v>3.9849773617407838E-3</v>
      </c>
      <c r="M56">
        <v>7.9699549823999405E-3</v>
      </c>
      <c r="N56">
        <v>7.3008458346501826E-4</v>
      </c>
      <c r="O56">
        <v>209.94330504583729</v>
      </c>
      <c r="P56">
        <v>70</v>
      </c>
      <c r="Q56">
        <v>20000</v>
      </c>
      <c r="R56" t="b">
        <v>0</v>
      </c>
      <c r="S56">
        <f t="shared" si="0"/>
        <v>1.8609298036135705E-2</v>
      </c>
    </row>
    <row r="57" spans="1:19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v>1.7744139768183231E-5</v>
      </c>
      <c r="F57">
        <v>1.2043122202157971E-2</v>
      </c>
      <c r="G57" t="b">
        <v>1</v>
      </c>
      <c r="H57">
        <v>237.5</v>
      </c>
      <c r="I57">
        <v>312.5</v>
      </c>
      <c r="J57">
        <v>0.56133544445037842</v>
      </c>
      <c r="K57">
        <v>0.31509751081466669</v>
      </c>
      <c r="L57">
        <v>3.9692409929122712E-3</v>
      </c>
      <c r="M57">
        <v>7.938481867313385E-3</v>
      </c>
      <c r="N57">
        <v>3.6194745189455091E-5</v>
      </c>
      <c r="O57">
        <v>223.39559619624401</v>
      </c>
      <c r="P57">
        <v>70</v>
      </c>
      <c r="Q57">
        <v>20000</v>
      </c>
      <c r="R57" t="b">
        <v>0</v>
      </c>
      <c r="S57">
        <f t="shared" si="0"/>
        <v>9.4532316274942394E-4</v>
      </c>
    </row>
    <row r="58" spans="1:19" x14ac:dyDescent="0.25">
      <c r="A58">
        <v>57</v>
      </c>
      <c r="B58">
        <v>3.72079126374026</v>
      </c>
      <c r="C58">
        <v>273.67919921875</v>
      </c>
      <c r="D58">
        <v>3.7188000679016109</v>
      </c>
      <c r="E58">
        <v>3.9651640690863132E-6</v>
      </c>
      <c r="F58">
        <v>1.181347109377384E-2</v>
      </c>
      <c r="G58" t="b">
        <v>1</v>
      </c>
      <c r="H58">
        <v>237.5</v>
      </c>
      <c r="I58">
        <v>312.5</v>
      </c>
      <c r="J58">
        <v>0.55531942844390869</v>
      </c>
      <c r="K58">
        <v>0.3083796501159668</v>
      </c>
      <c r="L58">
        <v>3.9267013357732559E-3</v>
      </c>
      <c r="M58">
        <v>7.8534027561545372E-3</v>
      </c>
      <c r="N58">
        <v>1.9911958386491513E-3</v>
      </c>
      <c r="O58">
        <v>241.15485667158779</v>
      </c>
      <c r="P58">
        <v>70</v>
      </c>
      <c r="Q58">
        <v>20000</v>
      </c>
      <c r="R58" t="b">
        <v>0</v>
      </c>
      <c r="S58">
        <f t="shared" si="0"/>
        <v>5.3515386849396565E-2</v>
      </c>
    </row>
    <row r="59" spans="1:19" x14ac:dyDescent="0.25">
      <c r="A59">
        <v>58</v>
      </c>
      <c r="B59">
        <v>3.6003968225698841</v>
      </c>
      <c r="C59">
        <v>281.34915161132813</v>
      </c>
      <c r="D59">
        <v>3.603272676467896</v>
      </c>
      <c r="E59">
        <v>8.270253601949662E-6</v>
      </c>
      <c r="F59">
        <v>1.15339457988739E-2</v>
      </c>
      <c r="G59" t="b">
        <v>1</v>
      </c>
      <c r="H59">
        <v>237.5</v>
      </c>
      <c r="I59">
        <v>312.5</v>
      </c>
      <c r="J59">
        <v>0.55614835023880005</v>
      </c>
      <c r="K59">
        <v>0.3093009889125824</v>
      </c>
      <c r="L59">
        <v>3.9325626979956653E-3</v>
      </c>
      <c r="M59">
        <v>7.8651253134012222E-3</v>
      </c>
      <c r="N59">
        <v>2.8758538980118153E-3</v>
      </c>
      <c r="O59">
        <v>263.79435852576103</v>
      </c>
      <c r="P59">
        <v>70</v>
      </c>
      <c r="Q59">
        <v>20000</v>
      </c>
      <c r="R59" t="b">
        <v>0</v>
      </c>
      <c r="S59">
        <f t="shared" si="0"/>
        <v>7.9876025886476978E-2</v>
      </c>
    </row>
    <row r="60" spans="1:19" x14ac:dyDescent="0.25">
      <c r="A60">
        <v>59</v>
      </c>
      <c r="B60">
        <v>3.469081214710001</v>
      </c>
      <c r="C60">
        <v>290.4407958984375</v>
      </c>
      <c r="D60">
        <v>3.4685320854187012</v>
      </c>
      <c r="E60">
        <v>3.014866365447233E-7</v>
      </c>
      <c r="F60">
        <v>1.10551817342639E-2</v>
      </c>
      <c r="G60" t="b">
        <v>1</v>
      </c>
      <c r="H60">
        <v>237.5</v>
      </c>
      <c r="I60">
        <v>312.5</v>
      </c>
      <c r="J60">
        <v>0.56013870239257813</v>
      </c>
      <c r="K60">
        <v>0.31375536322593689</v>
      </c>
      <c r="L60">
        <v>3.960778748668254E-3</v>
      </c>
      <c r="M60">
        <v>7.9215578734874725E-3</v>
      </c>
      <c r="N60">
        <v>5.4912929129979915E-4</v>
      </c>
      <c r="O60">
        <v>296.44854868639408</v>
      </c>
      <c r="P60">
        <v>70</v>
      </c>
      <c r="Q60">
        <v>20000</v>
      </c>
      <c r="R60" t="b">
        <v>0</v>
      </c>
      <c r="S60">
        <f t="shared" si="0"/>
        <v>1.5829242883427387E-2</v>
      </c>
    </row>
    <row r="61" spans="1:19" x14ac:dyDescent="0.25">
      <c r="A61">
        <v>60</v>
      </c>
      <c r="B61">
        <v>3.328446766773975</v>
      </c>
      <c r="C61">
        <v>301.4334716796875</v>
      </c>
      <c r="D61">
        <v>3.3293106555938721</v>
      </c>
      <c r="E61">
        <v>7.0823989517521113E-5</v>
      </c>
      <c r="F61">
        <v>9.5494715496897697E-3</v>
      </c>
      <c r="G61" t="b">
        <v>0</v>
      </c>
      <c r="H61">
        <v>287.5</v>
      </c>
      <c r="I61">
        <v>362.5</v>
      </c>
      <c r="J61">
        <v>0.55323678255081177</v>
      </c>
      <c r="K61">
        <v>0.30607092380523682</v>
      </c>
      <c r="L61">
        <v>3.9119748054350636E-3</v>
      </c>
      <c r="M61">
        <v>7.8239496797323227E-3</v>
      </c>
      <c r="N61">
        <v>8.63888819897074E-4</v>
      </c>
      <c r="O61">
        <v>3.055730793523859E-2</v>
      </c>
      <c r="P61">
        <v>70</v>
      </c>
      <c r="Q61">
        <v>20000</v>
      </c>
      <c r="R61" t="b">
        <v>0</v>
      </c>
      <c r="S61">
        <f t="shared" si="0"/>
        <v>2.5954713427319722E-2</v>
      </c>
    </row>
    <row r="62" spans="1:19" x14ac:dyDescent="0.25">
      <c r="A62">
        <v>61</v>
      </c>
    </row>
    <row r="63" spans="1:19" x14ac:dyDescent="0.25">
      <c r="A63">
        <v>62</v>
      </c>
    </row>
    <row r="64" spans="1:19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7" x14ac:dyDescent="0.25">
      <c r="A81">
        <v>80</v>
      </c>
      <c r="B81">
        <v>1.059669741704262</v>
      </c>
      <c r="C81">
        <v>924.90283203125</v>
      </c>
      <c r="D81">
        <v>1.0655044317245479</v>
      </c>
      <c r="E81">
        <v>3.4043707273667678E-5</v>
      </c>
      <c r="F81">
        <v>1.1739814653992651E-3</v>
      </c>
      <c r="G81" t="b">
        <v>1</v>
      </c>
      <c r="H81">
        <v>875</v>
      </c>
      <c r="I81">
        <v>1000</v>
      </c>
      <c r="J81">
        <v>0.54260843992233276</v>
      </c>
      <c r="K81">
        <v>0.29442393779754639</v>
      </c>
      <c r="L81">
        <v>3.8368210739813491E-3</v>
      </c>
      <c r="M81">
        <v>7.6736421324312687E-3</v>
      </c>
      <c r="N81">
        <v>5.8346900202859153E-3</v>
      </c>
      <c r="O81">
        <v>29918.639575241941</v>
      </c>
      <c r="P81">
        <v>70</v>
      </c>
      <c r="Q81">
        <v>20000</v>
      </c>
    </row>
    <row r="82" spans="1:17" x14ac:dyDescent="0.25">
      <c r="A82">
        <v>81</v>
      </c>
    </row>
    <row r="83" spans="1:17" x14ac:dyDescent="0.25">
      <c r="A83">
        <v>82</v>
      </c>
    </row>
    <row r="84" spans="1:17" x14ac:dyDescent="0.25">
      <c r="A84">
        <v>83</v>
      </c>
    </row>
    <row r="85" spans="1:17" x14ac:dyDescent="0.25">
      <c r="A85">
        <v>84</v>
      </c>
    </row>
    <row r="86" spans="1:17" x14ac:dyDescent="0.25">
      <c r="A86">
        <v>85</v>
      </c>
    </row>
    <row r="87" spans="1:17" x14ac:dyDescent="0.25">
      <c r="A87">
        <v>86</v>
      </c>
    </row>
    <row r="88" spans="1:17" x14ac:dyDescent="0.25">
      <c r="A88">
        <v>87</v>
      </c>
    </row>
    <row r="89" spans="1:17" x14ac:dyDescent="0.25">
      <c r="A89">
        <v>88</v>
      </c>
    </row>
    <row r="90" spans="1:17" x14ac:dyDescent="0.25">
      <c r="A90">
        <v>89</v>
      </c>
    </row>
    <row r="91" spans="1:17" x14ac:dyDescent="0.25">
      <c r="A91">
        <v>90</v>
      </c>
    </row>
    <row r="92" spans="1:17" x14ac:dyDescent="0.25">
      <c r="A92">
        <v>91</v>
      </c>
    </row>
    <row r="93" spans="1:17" x14ac:dyDescent="0.25">
      <c r="A93">
        <v>92</v>
      </c>
    </row>
    <row r="94" spans="1:17" x14ac:dyDescent="0.25">
      <c r="A94">
        <v>93</v>
      </c>
    </row>
    <row r="95" spans="1:17" x14ac:dyDescent="0.25">
      <c r="A95">
        <v>94</v>
      </c>
    </row>
    <row r="96" spans="1:17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2025-10-21T23:47:53Z</dcterms:modified>
</cp:coreProperties>
</file>